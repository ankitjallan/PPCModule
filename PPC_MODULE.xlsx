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RODUCTION\EXT LAM\NIRUPAM ACHARJEE\New folder\"/>
    </mc:Choice>
  </mc:AlternateContent>
  <xr:revisionPtr revIDLastSave="0" documentId="13_ncr:1_{2BDA59EC-EA84-4670-8E5F-0340FE60AD18}" xr6:coauthVersionLast="47" xr6:coauthVersionMax="47" xr10:uidLastSave="{00000000-0000-0000-0000-000000000000}"/>
  <bookViews>
    <workbookView xWindow="-120" yWindow="-120" windowWidth="19440" windowHeight="11640" tabRatio="783" xr2:uid="{00000000-000D-0000-FFFF-FFFF00000000}"/>
  </bookViews>
  <sheets>
    <sheet name="ALL STOCK" sheetId="248" r:id="rId1"/>
    <sheet name="BOOKING" sheetId="421" r:id="rId2"/>
    <sheet name="ORDER BOOK" sheetId="79" r:id="rId3"/>
    <sheet name="PENDING ORDER" sheetId="88" r:id="rId4"/>
    <sheet name="PRINTING PLAN" sheetId="444" r:id="rId5"/>
    <sheet name="ECL PLAN" sheetId="429" r:id="rId6"/>
    <sheet name="LAM" sheetId="109" r:id="rId7"/>
    <sheet name="Spec Sheet (2)" sheetId="69" r:id="rId8"/>
  </sheets>
  <externalReferences>
    <externalReference r:id="rId9"/>
  </externalReferences>
  <definedNames>
    <definedName name="_xlnm._FilterDatabase" localSheetId="0" hidden="1">'ALL STOCK'!$A$2:$O$588</definedName>
    <definedName name="_xlnm._FilterDatabase" localSheetId="5" hidden="1">'ECL PLAN'!$A$1:$A$9</definedName>
    <definedName name="_xlnm._FilterDatabase" localSheetId="2" hidden="1">'ORDER BOOK'!$A$2:$Z$2</definedName>
    <definedName name="_xlnm._FilterDatabase" localSheetId="3" hidden="1">'PENDING ORDER'!$A$3:$DF$11</definedName>
    <definedName name="_xlnm._FilterDatabase" localSheetId="4" hidden="1">'PRINTING PLAN'!#REF!</definedName>
    <definedName name="_xlnm._FilterDatabase" localSheetId="7" hidden="1">'Spec Sheet (2)'!$A$3:$GF$19</definedName>
    <definedName name="_xlnm.Print_Area" localSheetId="4">'PRINTING PLAN'!$A$1:$U$11</definedName>
    <definedName name="_xlnm.Print_Titles" localSheetId="0">'ALL STOCK'!#REF!</definedName>
  </definedNames>
  <calcPr calcId="191029"/>
</workbook>
</file>

<file path=xl/calcChain.xml><?xml version="1.0" encoding="utf-8"?>
<calcChain xmlns="http://schemas.openxmlformats.org/spreadsheetml/2006/main">
  <c r="I1" i="109" l="1"/>
  <c r="AE11" i="109"/>
  <c r="AD11" i="109"/>
  <c r="AB11" i="109"/>
  <c r="Z11" i="109"/>
  <c r="X11" i="109"/>
  <c r="W11" i="109"/>
  <c r="U11" i="109"/>
  <c r="T11" i="109"/>
  <c r="S11" i="109"/>
  <c r="Q11" i="109"/>
  <c r="O11" i="109"/>
  <c r="M11" i="109"/>
  <c r="AC11" i="109" s="1"/>
  <c r="L11" i="109"/>
  <c r="I11" i="109"/>
  <c r="G11" i="109"/>
  <c r="F11" i="109"/>
  <c r="E11" i="109"/>
  <c r="C11" i="109"/>
  <c r="Q5" i="109"/>
  <c r="C5" i="109"/>
  <c r="C6" i="109"/>
  <c r="C7" i="109"/>
  <c r="C9" i="109"/>
  <c r="C10" i="109"/>
  <c r="C4" i="109"/>
  <c r="CQ11" i="88"/>
  <c r="CQ10" i="88"/>
  <c r="CQ9" i="88"/>
  <c r="CQ8" i="88"/>
  <c r="CQ7" i="88"/>
  <c r="CQ6" i="88"/>
  <c r="CQ5" i="88"/>
  <c r="CQ4" i="88"/>
  <c r="Y11" i="109" l="1"/>
  <c r="K11" i="109" s="1"/>
  <c r="V11" i="109"/>
  <c r="N11" i="109"/>
  <c r="H11" i="109"/>
  <c r="R11" i="109"/>
  <c r="E4" i="109" l="1"/>
  <c r="L10" i="109"/>
  <c r="L9" i="109"/>
  <c r="L7" i="109"/>
  <c r="L6" i="109"/>
  <c r="L5" i="109"/>
  <c r="L4" i="109"/>
  <c r="AE10" i="109"/>
  <c r="AD10" i="109"/>
  <c r="AB10" i="109"/>
  <c r="Z10" i="109"/>
  <c r="X10" i="109"/>
  <c r="W10" i="109"/>
  <c r="U10" i="109"/>
  <c r="T10" i="109"/>
  <c r="S10" i="109"/>
  <c r="O10" i="109"/>
  <c r="M10" i="109"/>
  <c r="AC10" i="109" s="1"/>
  <c r="I10" i="109"/>
  <c r="G10" i="109"/>
  <c r="F10" i="109"/>
  <c r="E10" i="109"/>
  <c r="AE9" i="109"/>
  <c r="AD9" i="109"/>
  <c r="AB9" i="109"/>
  <c r="Z9" i="109"/>
  <c r="X9" i="109"/>
  <c r="W9" i="109"/>
  <c r="U9" i="109"/>
  <c r="T9" i="109"/>
  <c r="S9" i="109"/>
  <c r="O9" i="109"/>
  <c r="M9" i="109"/>
  <c r="AC9" i="109" s="1"/>
  <c r="I9" i="109"/>
  <c r="G9" i="109"/>
  <c r="F9" i="109"/>
  <c r="E9" i="109"/>
  <c r="AE7" i="109"/>
  <c r="AD7" i="109"/>
  <c r="AB7" i="109"/>
  <c r="Z7" i="109"/>
  <c r="X7" i="109"/>
  <c r="W7" i="109"/>
  <c r="U7" i="109"/>
  <c r="T7" i="109"/>
  <c r="S7" i="109"/>
  <c r="O7" i="109"/>
  <c r="M7" i="109"/>
  <c r="AC7" i="109" s="1"/>
  <c r="I7" i="109"/>
  <c r="G7" i="109"/>
  <c r="F7" i="109"/>
  <c r="E7" i="109"/>
  <c r="AE6" i="109"/>
  <c r="AD6" i="109"/>
  <c r="AB6" i="109"/>
  <c r="Z6" i="109"/>
  <c r="X6" i="109"/>
  <c r="W6" i="109"/>
  <c r="U6" i="109"/>
  <c r="T6" i="109"/>
  <c r="S6" i="109"/>
  <c r="O6" i="109"/>
  <c r="M6" i="109"/>
  <c r="AC6" i="109" s="1"/>
  <c r="I6" i="109"/>
  <c r="G6" i="109"/>
  <c r="F6" i="109"/>
  <c r="E6" i="109"/>
  <c r="AE5" i="109"/>
  <c r="AD5" i="109"/>
  <c r="AB5" i="109"/>
  <c r="Z5" i="109"/>
  <c r="X5" i="109"/>
  <c r="W5" i="109"/>
  <c r="U5" i="109"/>
  <c r="T5" i="109"/>
  <c r="S5" i="109"/>
  <c r="O5" i="109"/>
  <c r="M5" i="109"/>
  <c r="AC5" i="109" s="1"/>
  <c r="I5" i="109"/>
  <c r="G5" i="109"/>
  <c r="F5" i="109"/>
  <c r="E5" i="109"/>
  <c r="AK9" i="69"/>
  <c r="AK8" i="69"/>
  <c r="AK7" i="69"/>
  <c r="AK6" i="69"/>
  <c r="AK5" i="69"/>
  <c r="Z5" i="69"/>
  <c r="H9" i="69"/>
  <c r="Y5" i="109" l="1"/>
  <c r="V5" i="109"/>
  <c r="K5" i="109" s="1"/>
  <c r="N5" i="109"/>
  <c r="H5" i="109"/>
  <c r="Y6" i="109"/>
  <c r="V6" i="109"/>
  <c r="K6" i="109" s="1"/>
  <c r="N6" i="109"/>
  <c r="H6" i="109"/>
  <c r="Y7" i="109"/>
  <c r="V7" i="109"/>
  <c r="K7" i="109" s="1"/>
  <c r="N7" i="109"/>
  <c r="H7" i="109"/>
  <c r="Y9" i="109"/>
  <c r="V9" i="109"/>
  <c r="K9" i="109" s="1"/>
  <c r="N9" i="109"/>
  <c r="H9" i="109"/>
  <c r="Y10" i="109"/>
  <c r="V10" i="109"/>
  <c r="K10" i="109" s="1"/>
  <c r="N10" i="109"/>
  <c r="H10" i="109"/>
  <c r="DC6" i="69" l="1"/>
  <c r="R12" i="444"/>
  <c r="Q12" i="444"/>
  <c r="P12" i="444"/>
  <c r="L12" i="444"/>
  <c r="K12" i="444"/>
  <c r="O12" i="444" s="1"/>
  <c r="J12" i="444"/>
  <c r="I12" i="444"/>
  <c r="G12" i="444"/>
  <c r="D12" i="444"/>
  <c r="N10" i="421"/>
  <c r="N9" i="421"/>
  <c r="N8" i="421"/>
  <c r="N7" i="421"/>
  <c r="N6" i="421"/>
  <c r="N5" i="421"/>
  <c r="N4" i="421"/>
  <c r="N3" i="421"/>
  <c r="FP19" i="69"/>
  <c r="FP18" i="69"/>
  <c r="FP17" i="69"/>
  <c r="FP16" i="69"/>
  <c r="FP15" i="69"/>
  <c r="FP14" i="69"/>
  <c r="FP13" i="69"/>
  <c r="FP12" i="69"/>
  <c r="FP11" i="69"/>
  <c r="FP10" i="69"/>
  <c r="FP8" i="69"/>
  <c r="FP7" i="69"/>
  <c r="FP6" i="69"/>
  <c r="FP5" i="69"/>
  <c r="FP4" i="69"/>
  <c r="R11" i="444"/>
  <c r="Q11" i="444"/>
  <c r="P11" i="444"/>
  <c r="L11" i="444"/>
  <c r="G11" i="444"/>
  <c r="D11" i="444"/>
  <c r="R10" i="444"/>
  <c r="Q10" i="444"/>
  <c r="P10" i="444"/>
  <c r="L10" i="444"/>
  <c r="I10" i="444"/>
  <c r="G10" i="444"/>
  <c r="D10" i="444"/>
  <c r="R9" i="444"/>
  <c r="Q9" i="444"/>
  <c r="P9" i="444"/>
  <c r="L9" i="444"/>
  <c r="I9" i="444"/>
  <c r="G9" i="444"/>
  <c r="D9" i="444"/>
  <c r="R8" i="444"/>
  <c r="Q8" i="444"/>
  <c r="P8" i="444"/>
  <c r="L8" i="444"/>
  <c r="I8" i="444"/>
  <c r="G8" i="444"/>
  <c r="D8" i="444"/>
  <c r="J18" i="79" l="1"/>
  <c r="G18" i="79"/>
  <c r="F18" i="79"/>
  <c r="W18" i="79" s="1"/>
  <c r="J17" i="79"/>
  <c r="G17" i="79"/>
  <c r="F17" i="79"/>
  <c r="W17" i="79" s="1"/>
  <c r="J16" i="79"/>
  <c r="G16" i="79"/>
  <c r="F16" i="79"/>
  <c r="W16" i="79" s="1"/>
  <c r="J15" i="79"/>
  <c r="G15" i="79"/>
  <c r="F15" i="79"/>
  <c r="W15" i="79" s="1"/>
  <c r="J14" i="79"/>
  <c r="G14" i="79"/>
  <c r="F14" i="79"/>
  <c r="W14" i="79" s="1"/>
  <c r="J13" i="79"/>
  <c r="G13" i="79"/>
  <c r="F13" i="79"/>
  <c r="W13" i="79" s="1"/>
  <c r="J12" i="79"/>
  <c r="G12" i="79"/>
  <c r="F12" i="79"/>
  <c r="W12" i="79" s="1"/>
  <c r="J11" i="79"/>
  <c r="G11" i="79"/>
  <c r="F11" i="79"/>
  <c r="W11" i="79" s="1"/>
  <c r="J10" i="79"/>
  <c r="G10" i="79"/>
  <c r="F10" i="79"/>
  <c r="W10" i="79" s="1"/>
  <c r="J9" i="79"/>
  <c r="G9" i="79"/>
  <c r="F9" i="79"/>
  <c r="W9" i="79" s="1"/>
  <c r="G8" i="79"/>
  <c r="F8" i="79"/>
  <c r="W8" i="79" s="1"/>
  <c r="G7" i="79"/>
  <c r="F7" i="79"/>
  <c r="W7" i="79" s="1"/>
  <c r="G6" i="79"/>
  <c r="F6" i="79"/>
  <c r="W6" i="79" s="1"/>
  <c r="G5" i="79"/>
  <c r="F5" i="79"/>
  <c r="W5" i="79" s="1"/>
  <c r="G4" i="79"/>
  <c r="F4" i="79"/>
  <c r="W4" i="79" s="1"/>
  <c r="G3" i="79"/>
  <c r="CO11" i="88"/>
  <c r="CN11" i="88"/>
  <c r="CM11" i="88"/>
  <c r="CL11" i="88"/>
  <c r="CJ11" i="88"/>
  <c r="CI11" i="88"/>
  <c r="CH11" i="88"/>
  <c r="CG11" i="88"/>
  <c r="CF11" i="88"/>
  <c r="CE11" i="88"/>
  <c r="CD11" i="88"/>
  <c r="CC11" i="88"/>
  <c r="CK11" i="88" s="1"/>
  <c r="CB11" i="88"/>
  <c r="CA11" i="88"/>
  <c r="BZ11" i="88"/>
  <c r="BV11" i="88"/>
  <c r="BU11" i="88"/>
  <c r="BT11" i="88"/>
  <c r="BS11" i="88"/>
  <c r="BR11" i="88"/>
  <c r="BM11" i="88"/>
  <c r="BL11" i="88"/>
  <c r="BK11" i="88"/>
  <c r="BJ11" i="88"/>
  <c r="BE11" i="88"/>
  <c r="BD11" i="88"/>
  <c r="BC11" i="88"/>
  <c r="BB11" i="88"/>
  <c r="AZ11" i="88"/>
  <c r="AY11" i="88"/>
  <c r="AU11" i="88"/>
  <c r="AT11" i="88"/>
  <c r="AP11" i="88"/>
  <c r="AO11" i="88"/>
  <c r="AK11" i="88"/>
  <c r="BA11" i="88" s="1"/>
  <c r="AJ11" i="88"/>
  <c r="AH11" i="88"/>
  <c r="AG11" i="88"/>
  <c r="AF11" i="88"/>
  <c r="AE11" i="88"/>
  <c r="AA11" i="88"/>
  <c r="Y11" i="88"/>
  <c r="W11" i="88"/>
  <c r="V11" i="88"/>
  <c r="P11" i="88"/>
  <c r="T11" i="88" s="1"/>
  <c r="O11" i="88"/>
  <c r="M11" i="88"/>
  <c r="J11" i="88"/>
  <c r="H11" i="88"/>
  <c r="AV11" i="88" s="1"/>
  <c r="G11" i="88"/>
  <c r="F11" i="88"/>
  <c r="B11" i="88"/>
  <c r="A11" i="88"/>
  <c r="CO10" i="88"/>
  <c r="CN10" i="88"/>
  <c r="CM10" i="88"/>
  <c r="CL10" i="88"/>
  <c r="CJ10" i="88"/>
  <c r="CI10" i="88"/>
  <c r="CH10" i="88"/>
  <c r="CG10" i="88"/>
  <c r="CF10" i="88"/>
  <c r="CE10" i="88"/>
  <c r="CD10" i="88"/>
  <c r="CC10" i="88"/>
  <c r="CK10" i="88" s="1"/>
  <c r="CB10" i="88"/>
  <c r="CA10" i="88"/>
  <c r="BZ10" i="88"/>
  <c r="BV10" i="88"/>
  <c r="BU10" i="88"/>
  <c r="BT10" i="88"/>
  <c r="BS10" i="88"/>
  <c r="BR10" i="88"/>
  <c r="BM10" i="88"/>
  <c r="BL10" i="88"/>
  <c r="BK10" i="88"/>
  <c r="BJ10" i="88"/>
  <c r="BE10" i="88"/>
  <c r="BD10" i="88"/>
  <c r="BC10" i="88"/>
  <c r="BB10" i="88"/>
  <c r="AZ10" i="88"/>
  <c r="AY10" i="88"/>
  <c r="AU10" i="88"/>
  <c r="AT10" i="88"/>
  <c r="AP10" i="88"/>
  <c r="AO10" i="88"/>
  <c r="AK10" i="88"/>
  <c r="BA10" i="88" s="1"/>
  <c r="AJ10" i="88"/>
  <c r="AH10" i="88"/>
  <c r="AG10" i="88"/>
  <c r="AF10" i="88"/>
  <c r="AE10" i="88"/>
  <c r="AA10" i="88"/>
  <c r="Y10" i="88"/>
  <c r="W10" i="88"/>
  <c r="V10" i="88"/>
  <c r="P10" i="88"/>
  <c r="T10" i="88" s="1"/>
  <c r="O10" i="88"/>
  <c r="M10" i="88"/>
  <c r="J10" i="88"/>
  <c r="H10" i="88"/>
  <c r="AV10" i="88" s="1"/>
  <c r="G10" i="88"/>
  <c r="F10" i="88"/>
  <c r="B10" i="88"/>
  <c r="A10" i="88"/>
  <c r="CO9" i="88"/>
  <c r="CN9" i="88"/>
  <c r="CM9" i="88"/>
  <c r="CL9" i="88"/>
  <c r="CJ9" i="88"/>
  <c r="CI9" i="88"/>
  <c r="CH9" i="88"/>
  <c r="CG9" i="88"/>
  <c r="CF9" i="88"/>
  <c r="CE9" i="88"/>
  <c r="CD9" i="88"/>
  <c r="CC9" i="88"/>
  <c r="CK9" i="88" s="1"/>
  <c r="CB9" i="88"/>
  <c r="CA9" i="88"/>
  <c r="BZ9" i="88"/>
  <c r="BV9" i="88"/>
  <c r="BU9" i="88"/>
  <c r="BT9" i="88"/>
  <c r="BS9" i="88"/>
  <c r="BR9" i="88"/>
  <c r="BM9" i="88"/>
  <c r="BL9" i="88"/>
  <c r="BJ9" i="88"/>
  <c r="BE9" i="88"/>
  <c r="BD9" i="88"/>
  <c r="BB9" i="88"/>
  <c r="AZ9" i="88"/>
  <c r="AY9" i="88"/>
  <c r="AU9" i="88"/>
  <c r="AT9" i="88"/>
  <c r="AP9" i="88"/>
  <c r="AO9" i="88"/>
  <c r="AK9" i="88"/>
  <c r="BA9" i="88" s="1"/>
  <c r="AJ9" i="88"/>
  <c r="AH9" i="88"/>
  <c r="AF9" i="88"/>
  <c r="AA9" i="88"/>
  <c r="Y9" i="88"/>
  <c r="W9" i="88"/>
  <c r="P9" i="88"/>
  <c r="T9" i="88" s="1"/>
  <c r="O9" i="88"/>
  <c r="M9" i="88"/>
  <c r="J9" i="88"/>
  <c r="H9" i="88"/>
  <c r="G9" i="88"/>
  <c r="F9" i="88"/>
  <c r="B9" i="88"/>
  <c r="A9" i="88"/>
  <c r="CO8" i="88"/>
  <c r="CN8" i="88"/>
  <c r="CM8" i="88"/>
  <c r="CL8" i="88"/>
  <c r="CJ8" i="88"/>
  <c r="CI8" i="88"/>
  <c r="CH8" i="88"/>
  <c r="CG8" i="88"/>
  <c r="CF8" i="88"/>
  <c r="CE8" i="88"/>
  <c r="CD8" i="88"/>
  <c r="CC8" i="88"/>
  <c r="CK8" i="88" s="1"/>
  <c r="CB8" i="88"/>
  <c r="CA8" i="88"/>
  <c r="BZ8" i="88"/>
  <c r="BV8" i="88"/>
  <c r="BU8" i="88"/>
  <c r="BT8" i="88"/>
  <c r="BS8" i="88"/>
  <c r="BR8" i="88"/>
  <c r="BM8" i="88"/>
  <c r="BL8" i="88"/>
  <c r="BK8" i="88"/>
  <c r="BJ8" i="88"/>
  <c r="BE8" i="88"/>
  <c r="BD8" i="88"/>
  <c r="BC8" i="88"/>
  <c r="BB8" i="88"/>
  <c r="AZ8" i="88"/>
  <c r="AY8" i="88"/>
  <c r="AU8" i="88"/>
  <c r="AT8" i="88"/>
  <c r="AP8" i="88"/>
  <c r="AO8" i="88"/>
  <c r="AK8" i="88"/>
  <c r="BA8" i="88" s="1"/>
  <c r="AJ8" i="88"/>
  <c r="AG8" i="88"/>
  <c r="AF8" i="88"/>
  <c r="AE8" i="88"/>
  <c r="AA8" i="88"/>
  <c r="Y8" i="88"/>
  <c r="W8" i="88"/>
  <c r="V8" i="88"/>
  <c r="P8" i="88"/>
  <c r="T8" i="88" s="1"/>
  <c r="O8" i="88"/>
  <c r="M8" i="88"/>
  <c r="J8" i="88"/>
  <c r="H8" i="88"/>
  <c r="G8" i="88"/>
  <c r="F8" i="88"/>
  <c r="B8" i="88"/>
  <c r="A8" i="88"/>
  <c r="CO7" i="88"/>
  <c r="CN7" i="88"/>
  <c r="CM7" i="88"/>
  <c r="CL7" i="88"/>
  <c r="CJ7" i="88"/>
  <c r="CI7" i="88"/>
  <c r="CH7" i="88"/>
  <c r="CG7" i="88"/>
  <c r="CF7" i="88"/>
  <c r="CE7" i="88"/>
  <c r="CD7" i="88"/>
  <c r="CC7" i="88"/>
  <c r="CK7" i="88" s="1"/>
  <c r="CB7" i="88"/>
  <c r="CA7" i="88"/>
  <c r="BZ7" i="88"/>
  <c r="BV7" i="88"/>
  <c r="BU7" i="88"/>
  <c r="BT7" i="88"/>
  <c r="BS7" i="88"/>
  <c r="BR7" i="88"/>
  <c r="BM7" i="88"/>
  <c r="BL7" i="88"/>
  <c r="BK7" i="88"/>
  <c r="BJ7" i="88"/>
  <c r="BE7" i="88"/>
  <c r="BD7" i="88"/>
  <c r="BC7" i="88"/>
  <c r="BB7" i="88"/>
  <c r="AZ7" i="88"/>
  <c r="AY7" i="88"/>
  <c r="AU7" i="88"/>
  <c r="AT7" i="88"/>
  <c r="AP7" i="88"/>
  <c r="AO7" i="88"/>
  <c r="AK7" i="88"/>
  <c r="BA7" i="88" s="1"/>
  <c r="AJ7" i="88"/>
  <c r="AG7" i="88"/>
  <c r="AF7" i="88"/>
  <c r="AE7" i="88"/>
  <c r="AA7" i="88"/>
  <c r="Y7" i="88"/>
  <c r="W7" i="88"/>
  <c r="V7" i="88"/>
  <c r="P7" i="88"/>
  <c r="T7" i="88" s="1"/>
  <c r="O7" i="88"/>
  <c r="M7" i="88"/>
  <c r="J7" i="88"/>
  <c r="H7" i="88"/>
  <c r="G7" i="88"/>
  <c r="F7" i="88"/>
  <c r="B7" i="88"/>
  <c r="A7" i="88"/>
  <c r="CO6" i="88"/>
  <c r="CN6" i="88"/>
  <c r="CM6" i="88"/>
  <c r="CL6" i="88"/>
  <c r="CJ6" i="88"/>
  <c r="CI6" i="88"/>
  <c r="CH6" i="88"/>
  <c r="CG6" i="88"/>
  <c r="CF6" i="88"/>
  <c r="CE6" i="88"/>
  <c r="CD6" i="88"/>
  <c r="CC6" i="88"/>
  <c r="CK6" i="88" s="1"/>
  <c r="CB6" i="88"/>
  <c r="CA6" i="88"/>
  <c r="BZ6" i="88"/>
  <c r="BV6" i="88"/>
  <c r="BU6" i="88"/>
  <c r="BT6" i="88"/>
  <c r="BS6" i="88"/>
  <c r="BR6" i="88"/>
  <c r="BM6" i="88"/>
  <c r="BL6" i="88"/>
  <c r="BK6" i="88"/>
  <c r="BJ6" i="88"/>
  <c r="BE6" i="88"/>
  <c r="BD6" i="88"/>
  <c r="BC6" i="88"/>
  <c r="BB6" i="88"/>
  <c r="AZ6" i="88"/>
  <c r="AY6" i="88"/>
  <c r="AU6" i="88"/>
  <c r="AT6" i="88"/>
  <c r="AP6" i="88"/>
  <c r="AO6" i="88"/>
  <c r="AK6" i="88"/>
  <c r="BA6" i="88" s="1"/>
  <c r="AJ6" i="88"/>
  <c r="AH6" i="88"/>
  <c r="AG6" i="88"/>
  <c r="AE6" i="88"/>
  <c r="AA6" i="88"/>
  <c r="Y6" i="88"/>
  <c r="W6" i="88"/>
  <c r="V6" i="88"/>
  <c r="P6" i="88"/>
  <c r="T6" i="88" s="1"/>
  <c r="O6" i="88"/>
  <c r="M6" i="88"/>
  <c r="J6" i="88"/>
  <c r="H6" i="88"/>
  <c r="G6" i="88"/>
  <c r="F6" i="88"/>
  <c r="B6" i="88"/>
  <c r="A6" i="88"/>
  <c r="CO5" i="88"/>
  <c r="CN5" i="88"/>
  <c r="CM5" i="88"/>
  <c r="CL5" i="88"/>
  <c r="CJ5" i="88"/>
  <c r="CI5" i="88"/>
  <c r="CH5" i="88"/>
  <c r="CG5" i="88"/>
  <c r="CF5" i="88"/>
  <c r="CE5" i="88"/>
  <c r="CD5" i="88"/>
  <c r="CC5" i="88"/>
  <c r="CK5" i="88" s="1"/>
  <c r="CB5" i="88"/>
  <c r="CA5" i="88"/>
  <c r="BZ5" i="88"/>
  <c r="BV5" i="88"/>
  <c r="BU5" i="88"/>
  <c r="BT5" i="88"/>
  <c r="BS5" i="88"/>
  <c r="BR5" i="88"/>
  <c r="BM5" i="88"/>
  <c r="BL5" i="88"/>
  <c r="BK5" i="88"/>
  <c r="BJ5" i="88"/>
  <c r="BE5" i="88"/>
  <c r="BD5" i="88"/>
  <c r="BC5" i="88"/>
  <c r="BB5" i="88"/>
  <c r="AZ5" i="88"/>
  <c r="AY5" i="88"/>
  <c r="AU5" i="88"/>
  <c r="AT5" i="88"/>
  <c r="AP5" i="88"/>
  <c r="AO5" i="88"/>
  <c r="AK5" i="88"/>
  <c r="BA5" i="88" s="1"/>
  <c r="AJ5" i="88"/>
  <c r="AH5" i="88"/>
  <c r="AG5" i="88"/>
  <c r="AF5" i="88"/>
  <c r="AE5" i="88"/>
  <c r="AA5" i="88"/>
  <c r="Y5" i="88"/>
  <c r="W5" i="88"/>
  <c r="V5" i="88"/>
  <c r="P5" i="88"/>
  <c r="T5" i="88" s="1"/>
  <c r="O5" i="88"/>
  <c r="M5" i="88"/>
  <c r="J5" i="88"/>
  <c r="H5" i="88"/>
  <c r="G5" i="88"/>
  <c r="F5" i="88"/>
  <c r="B5" i="88"/>
  <c r="A5" i="88"/>
  <c r="CO4" i="88"/>
  <c r="CN4" i="88"/>
  <c r="CM4" i="88"/>
  <c r="CL4" i="88"/>
  <c r="CJ4" i="88"/>
  <c r="CI4" i="88"/>
  <c r="CH4" i="88"/>
  <c r="CG4" i="88"/>
  <c r="CF4" i="88"/>
  <c r="CE4" i="88"/>
  <c r="CD4" i="88"/>
  <c r="CC4" i="88"/>
  <c r="CK4" i="88" s="1"/>
  <c r="CB4" i="88"/>
  <c r="CA4" i="88"/>
  <c r="BZ4" i="88"/>
  <c r="BV4" i="88"/>
  <c r="BU4" i="88"/>
  <c r="BT4" i="88"/>
  <c r="BS4" i="88"/>
  <c r="BR4" i="88"/>
  <c r="BM4" i="88"/>
  <c r="BL4" i="88"/>
  <c r="BK4" i="88"/>
  <c r="BJ4" i="88"/>
  <c r="BE4" i="88"/>
  <c r="BD4" i="88"/>
  <c r="BC4" i="88"/>
  <c r="BB4" i="88"/>
  <c r="AZ4" i="88"/>
  <c r="AY4" i="88"/>
  <c r="AU4" i="88"/>
  <c r="AT4" i="88"/>
  <c r="AP4" i="88"/>
  <c r="AO4" i="88"/>
  <c r="AK4" i="88"/>
  <c r="BA4" i="88" s="1"/>
  <c r="AJ4" i="88"/>
  <c r="AG4" i="88"/>
  <c r="AE4" i="88"/>
  <c r="AA4" i="88"/>
  <c r="Y4" i="88"/>
  <c r="W4" i="88"/>
  <c r="V4" i="88"/>
  <c r="P4" i="88"/>
  <c r="T4" i="88" s="1"/>
  <c r="E6" i="429" s="1"/>
  <c r="O4" i="88"/>
  <c r="M4" i="88"/>
  <c r="J4" i="88"/>
  <c r="G4" i="88"/>
  <c r="F4" i="88"/>
  <c r="B4" i="88"/>
  <c r="A4" i="88"/>
  <c r="N2" i="421"/>
  <c r="F3" i="79" s="1"/>
  <c r="W3" i="79" s="1"/>
  <c r="H4" i="88" s="1"/>
  <c r="N1" i="421"/>
  <c r="X3" i="79" l="1"/>
  <c r="H3" i="79"/>
  <c r="V3" i="79" s="1"/>
  <c r="X4" i="79"/>
  <c r="H4" i="79"/>
  <c r="V4" i="79" s="1"/>
  <c r="X5" i="79"/>
  <c r="H5" i="79"/>
  <c r="V5" i="79" s="1"/>
  <c r="X6" i="79"/>
  <c r="H6" i="79"/>
  <c r="V6" i="79" s="1"/>
  <c r="X7" i="79"/>
  <c r="H7" i="79"/>
  <c r="V7" i="79" s="1"/>
  <c r="X8" i="79"/>
  <c r="H8" i="79"/>
  <c r="V8" i="79" s="1"/>
  <c r="X9" i="79"/>
  <c r="H9" i="79"/>
  <c r="V9" i="79" s="1"/>
  <c r="S9" i="79"/>
  <c r="R9" i="79"/>
  <c r="O9" i="79"/>
  <c r="M9" i="79"/>
  <c r="Y9" i="79" s="1"/>
  <c r="X10" i="79"/>
  <c r="H10" i="79"/>
  <c r="V10" i="79" s="1"/>
  <c r="S10" i="79"/>
  <c r="R10" i="79"/>
  <c r="O10" i="79"/>
  <c r="M10" i="79"/>
  <c r="Y10" i="79" s="1"/>
  <c r="X11" i="79"/>
  <c r="H11" i="79"/>
  <c r="V11" i="79" s="1"/>
  <c r="S11" i="79"/>
  <c r="R11" i="79"/>
  <c r="O11" i="79"/>
  <c r="M11" i="79"/>
  <c r="Y11" i="79" s="1"/>
  <c r="X12" i="79"/>
  <c r="H12" i="79"/>
  <c r="V12" i="79" s="1"/>
  <c r="S12" i="79"/>
  <c r="R12" i="79"/>
  <c r="O12" i="79"/>
  <c r="M12" i="79"/>
  <c r="Y12" i="79" s="1"/>
  <c r="X13" i="79"/>
  <c r="H13" i="79"/>
  <c r="V13" i="79" s="1"/>
  <c r="S13" i="79"/>
  <c r="R13" i="79"/>
  <c r="O13" i="79"/>
  <c r="M13" i="79"/>
  <c r="Y13" i="79" s="1"/>
  <c r="X14" i="79"/>
  <c r="H14" i="79"/>
  <c r="V14" i="79" s="1"/>
  <c r="S14" i="79"/>
  <c r="R14" i="79"/>
  <c r="O14" i="79"/>
  <c r="M14" i="79"/>
  <c r="Y14" i="79" s="1"/>
  <c r="X15" i="79"/>
  <c r="H15" i="79"/>
  <c r="V15" i="79" s="1"/>
  <c r="S15" i="79"/>
  <c r="R15" i="79"/>
  <c r="O15" i="79"/>
  <c r="M15" i="79"/>
  <c r="Y15" i="79" s="1"/>
  <c r="X16" i="79"/>
  <c r="H16" i="79"/>
  <c r="V16" i="79" s="1"/>
  <c r="S16" i="79"/>
  <c r="R16" i="79"/>
  <c r="O16" i="79"/>
  <c r="M16" i="79"/>
  <c r="Y16" i="79" s="1"/>
  <c r="X17" i="79"/>
  <c r="H17" i="79"/>
  <c r="V17" i="79" s="1"/>
  <c r="S17" i="79"/>
  <c r="R17" i="79"/>
  <c r="O17" i="79"/>
  <c r="M17" i="79"/>
  <c r="Y17" i="79" s="1"/>
  <c r="X18" i="79"/>
  <c r="H18" i="79"/>
  <c r="V18" i="79" s="1"/>
  <c r="S18" i="79"/>
  <c r="R18" i="79"/>
  <c r="O18" i="79"/>
  <c r="M18" i="79"/>
  <c r="Y18" i="79" s="1"/>
  <c r="AC4" i="88"/>
  <c r="AD4" i="88" s="1"/>
  <c r="Z4" i="88"/>
  <c r="U4" i="88"/>
  <c r="AV4" i="88" s="1"/>
  <c r="BH4" i="88"/>
  <c r="BG4" i="88"/>
  <c r="BP4" i="88"/>
  <c r="BO4" i="88"/>
  <c r="BY4" i="88"/>
  <c r="BX4" i="88"/>
  <c r="AC5" i="88"/>
  <c r="AD5" i="88" s="1"/>
  <c r="Z5" i="88"/>
  <c r="U5" i="88"/>
  <c r="AV5" i="88" s="1"/>
  <c r="BH5" i="88"/>
  <c r="BG5" i="88"/>
  <c r="BP5" i="88"/>
  <c r="BO5" i="88"/>
  <c r="BY5" i="88"/>
  <c r="BX5" i="88"/>
  <c r="AC6" i="88"/>
  <c r="AD6" i="88" s="1"/>
  <c r="Z6" i="88"/>
  <c r="J8" i="444" s="1"/>
  <c r="U6" i="88"/>
  <c r="AV6" i="88" s="1"/>
  <c r="BH6" i="88"/>
  <c r="BG6" i="88"/>
  <c r="BP6" i="88"/>
  <c r="BO6" i="88"/>
  <c r="BY6" i="88"/>
  <c r="BX6" i="88"/>
  <c r="AC7" i="88"/>
  <c r="AD7" i="88" s="1"/>
  <c r="Z7" i="88"/>
  <c r="J9" i="444" s="1"/>
  <c r="U7" i="88"/>
  <c r="AV7" i="88" s="1"/>
  <c r="BH7" i="88"/>
  <c r="BG7" i="88"/>
  <c r="BP7" i="88"/>
  <c r="BO7" i="88"/>
  <c r="BY7" i="88"/>
  <c r="BX7" i="88"/>
  <c r="AC8" i="88"/>
  <c r="AD8" i="88" s="1"/>
  <c r="Z8" i="88"/>
  <c r="J10" i="444" s="1"/>
  <c r="U8" i="88"/>
  <c r="AV8" i="88" s="1"/>
  <c r="BH8" i="88"/>
  <c r="BG8" i="88"/>
  <c r="BP8" i="88"/>
  <c r="BO8" i="88"/>
  <c r="BY8" i="88"/>
  <c r="BX8" i="88"/>
  <c r="AC9" i="88"/>
  <c r="AD9" i="88" s="1"/>
  <c r="Z9" i="88"/>
  <c r="J11" i="444" s="1"/>
  <c r="U9" i="88"/>
  <c r="AV9" i="88" s="1"/>
  <c r="BH9" i="88"/>
  <c r="BG9" i="88"/>
  <c r="BP9" i="88"/>
  <c r="BO9" i="88"/>
  <c r="BY9" i="88"/>
  <c r="BX9" i="88"/>
  <c r="AC10" i="88"/>
  <c r="AD10" i="88" s="1"/>
  <c r="Z10" i="88"/>
  <c r="U10" i="88"/>
  <c r="BH10" i="88"/>
  <c r="BG10" i="88"/>
  <c r="BP10" i="88"/>
  <c r="BO10" i="88"/>
  <c r="BY10" i="88"/>
  <c r="BX10" i="88"/>
  <c r="AC11" i="88"/>
  <c r="AD11" i="88" s="1"/>
  <c r="Z11" i="88"/>
  <c r="U11" i="88"/>
  <c r="BH11" i="88"/>
  <c r="BG11" i="88"/>
  <c r="BP11" i="88"/>
  <c r="BO11" i="88"/>
  <c r="BY11" i="88"/>
  <c r="BX11" i="88"/>
  <c r="GM6" i="69"/>
  <c r="J5" i="79" s="1"/>
  <c r="CV6" i="69"/>
  <c r="CT6" i="69"/>
  <c r="BE6" i="69"/>
  <c r="GC6" i="69" s="1"/>
  <c r="AI6" i="69"/>
  <c r="Z6" i="69"/>
  <c r="X6" i="69"/>
  <c r="S6" i="69"/>
  <c r="P6" i="69"/>
  <c r="O6" i="69"/>
  <c r="M6" i="69"/>
  <c r="H6" i="69"/>
  <c r="AA6" i="429"/>
  <c r="X6" i="429"/>
  <c r="W6" i="429"/>
  <c r="H6" i="429"/>
  <c r="G6" i="429"/>
  <c r="D6" i="429"/>
  <c r="GM19" i="69"/>
  <c r="CV19" i="69"/>
  <c r="CT19" i="69"/>
  <c r="BE19" i="69"/>
  <c r="GC19" i="69" s="1"/>
  <c r="AI19" i="69"/>
  <c r="Z19" i="69"/>
  <c r="X19" i="69"/>
  <c r="S19" i="69"/>
  <c r="P19" i="69"/>
  <c r="O19" i="69"/>
  <c r="M19" i="69"/>
  <c r="BG19" i="69" s="1"/>
  <c r="H19" i="69"/>
  <c r="GM18" i="69"/>
  <c r="CV18" i="69"/>
  <c r="CT18" i="69"/>
  <c r="BE18" i="69"/>
  <c r="GC18" i="69" s="1"/>
  <c r="AI18" i="69"/>
  <c r="Z18" i="69"/>
  <c r="X18" i="69"/>
  <c r="S18" i="69"/>
  <c r="P18" i="69"/>
  <c r="O18" i="69"/>
  <c r="M18" i="69"/>
  <c r="BG18" i="69" s="1"/>
  <c r="H18" i="69"/>
  <c r="GM17" i="69"/>
  <c r="CV17" i="69"/>
  <c r="CT17" i="69"/>
  <c r="BE17" i="69"/>
  <c r="GC17" i="69" s="1"/>
  <c r="AI17" i="69"/>
  <c r="Z17" i="69"/>
  <c r="X17" i="69"/>
  <c r="S17" i="69"/>
  <c r="P17" i="69"/>
  <c r="O17" i="69"/>
  <c r="M17" i="69"/>
  <c r="BG17" i="69" s="1"/>
  <c r="H17" i="69"/>
  <c r="GM16" i="69"/>
  <c r="CV16" i="69"/>
  <c r="CT16" i="69"/>
  <c r="BE16" i="69"/>
  <c r="GC16" i="69" s="1"/>
  <c r="AI16" i="69"/>
  <c r="Z16" i="69"/>
  <c r="X16" i="69"/>
  <c r="S16" i="69"/>
  <c r="P16" i="69"/>
  <c r="O16" i="69"/>
  <c r="M16" i="69"/>
  <c r="BG16" i="69" s="1"/>
  <c r="H16" i="69"/>
  <c r="GM15" i="69"/>
  <c r="CV15" i="69"/>
  <c r="CT15" i="69"/>
  <c r="BE15" i="69"/>
  <c r="GC15" i="69" s="1"/>
  <c r="AI15" i="69"/>
  <c r="Z15" i="69"/>
  <c r="X15" i="69"/>
  <c r="S15" i="69"/>
  <c r="P15" i="69"/>
  <c r="O15" i="69"/>
  <c r="M15" i="69"/>
  <c r="BG15" i="69" s="1"/>
  <c r="H15" i="69"/>
  <c r="GM14" i="69"/>
  <c r="CV14" i="69"/>
  <c r="CT14" i="69"/>
  <c r="BE14" i="69"/>
  <c r="GC14" i="69" s="1"/>
  <c r="AI14" i="69"/>
  <c r="Z14" i="69"/>
  <c r="X14" i="69"/>
  <c r="S14" i="69"/>
  <c r="P14" i="69"/>
  <c r="O14" i="69"/>
  <c r="M14" i="69"/>
  <c r="BG14" i="69" s="1"/>
  <c r="H14" i="69"/>
  <c r="GM13" i="69"/>
  <c r="CV13" i="69"/>
  <c r="CT13" i="69"/>
  <c r="BE13" i="69"/>
  <c r="GC13" i="69" s="1"/>
  <c r="AI13" i="69"/>
  <c r="Z13" i="69"/>
  <c r="X13" i="69"/>
  <c r="S13" i="69"/>
  <c r="P13" i="69"/>
  <c r="O13" i="69"/>
  <c r="M13" i="69"/>
  <c r="BG13" i="69" s="1"/>
  <c r="H13" i="69"/>
  <c r="GM12" i="69"/>
  <c r="CV12" i="69"/>
  <c r="CT12" i="69"/>
  <c r="BE12" i="69"/>
  <c r="GC12" i="69" s="1"/>
  <c r="AI12" i="69"/>
  <c r="Z12" i="69"/>
  <c r="X12" i="69"/>
  <c r="S12" i="69"/>
  <c r="P12" i="69"/>
  <c r="O12" i="69"/>
  <c r="M12" i="69"/>
  <c r="BG12" i="69" s="1"/>
  <c r="H12" i="69"/>
  <c r="GM11" i="69"/>
  <c r="CV11" i="69"/>
  <c r="CT11" i="69"/>
  <c r="BE11" i="69"/>
  <c r="GC11" i="69" s="1"/>
  <c r="AI11" i="69"/>
  <c r="Z11" i="69"/>
  <c r="X11" i="69"/>
  <c r="S11" i="69"/>
  <c r="P11" i="69"/>
  <c r="O11" i="69"/>
  <c r="M11" i="69"/>
  <c r="BG11" i="69" s="1"/>
  <c r="H11" i="69"/>
  <c r="GM10" i="69"/>
  <c r="CV10" i="69"/>
  <c r="CT10" i="69"/>
  <c r="BE10" i="69"/>
  <c r="GC10" i="69" s="1"/>
  <c r="AI10" i="69"/>
  <c r="Z10" i="69"/>
  <c r="X10" i="69"/>
  <c r="S10" i="69"/>
  <c r="P10" i="69"/>
  <c r="O10" i="69"/>
  <c r="M10" i="69"/>
  <c r="BG10" i="69" s="1"/>
  <c r="H10" i="69"/>
  <c r="AI8" i="69"/>
  <c r="AF8" i="69"/>
  <c r="AD8" i="69"/>
  <c r="Z8" i="69"/>
  <c r="X8" i="69"/>
  <c r="P8" i="69"/>
  <c r="O8" i="69"/>
  <c r="M8" i="69"/>
  <c r="H8" i="69"/>
  <c r="S5" i="79" l="1"/>
  <c r="R5" i="79"/>
  <c r="O5" i="79"/>
  <c r="M5" i="79"/>
  <c r="Y5" i="79" s="1"/>
  <c r="AQ11" i="88"/>
  <c r="AL11" i="88"/>
  <c r="AB11" i="88"/>
  <c r="AQ10" i="88"/>
  <c r="AL10" i="88"/>
  <c r="AB10" i="88"/>
  <c r="AQ9" i="88"/>
  <c r="AL9" i="88"/>
  <c r="AB9" i="88"/>
  <c r="AQ8" i="88"/>
  <c r="AL8" i="88"/>
  <c r="AB8" i="88"/>
  <c r="AQ7" i="88"/>
  <c r="AL7" i="88"/>
  <c r="AB7" i="88"/>
  <c r="AQ6" i="88"/>
  <c r="AL6" i="88"/>
  <c r="AB6" i="88"/>
  <c r="AQ5" i="88"/>
  <c r="AL5" i="88"/>
  <c r="AB5" i="88"/>
  <c r="AQ4" i="88"/>
  <c r="AL4" i="88"/>
  <c r="AB4" i="88"/>
  <c r="BG6" i="69"/>
  <c r="AF6" i="88" l="1"/>
  <c r="K8" i="444"/>
  <c r="O8" i="444" s="1"/>
  <c r="AH7" i="88"/>
  <c r="K9" i="444"/>
  <c r="O9" i="444" s="1"/>
  <c r="AH8" i="88"/>
  <c r="K10" i="444"/>
  <c r="O10" i="444" s="1"/>
  <c r="AG9" i="88"/>
  <c r="K11" i="444"/>
  <c r="O11" i="444" s="1"/>
  <c r="AH4" i="88"/>
  <c r="AF4" i="88"/>
  <c r="BW4" i="88"/>
  <c r="BN4" i="88"/>
  <c r="BF4" i="88"/>
  <c r="BW5" i="88"/>
  <c r="BN5" i="88"/>
  <c r="BF5" i="88"/>
  <c r="BW6" i="88"/>
  <c r="BN6" i="88"/>
  <c r="BF6" i="88"/>
  <c r="BW7" i="88"/>
  <c r="BN7" i="88"/>
  <c r="BF7" i="88"/>
  <c r="BW8" i="88"/>
  <c r="BN8" i="88"/>
  <c r="BF8" i="88"/>
  <c r="BW9" i="88"/>
  <c r="BN9" i="88"/>
  <c r="BF9" i="88"/>
  <c r="BW10" i="88"/>
  <c r="BN10" i="88"/>
  <c r="BF10" i="88"/>
  <c r="BW11" i="88"/>
  <c r="BN11" i="88"/>
  <c r="BF11" i="88"/>
  <c r="H7" i="429" l="1"/>
  <c r="H9" i="429"/>
  <c r="H8" i="429"/>
  <c r="Z6" i="429" l="1"/>
  <c r="V6" i="429" s="1"/>
  <c r="C6" i="429"/>
  <c r="M6" i="429" l="1"/>
  <c r="P6" i="444" l="1"/>
  <c r="AE4" i="109"/>
  <c r="AD4" i="109"/>
  <c r="AB4" i="109"/>
  <c r="Z4" i="109"/>
  <c r="X4" i="109"/>
  <c r="W4" i="109"/>
  <c r="U4" i="109"/>
  <c r="T4" i="109"/>
  <c r="S4" i="109"/>
  <c r="O4" i="109"/>
  <c r="M4" i="109"/>
  <c r="AC4" i="109" s="1"/>
  <c r="I4" i="109"/>
  <c r="G4" i="109"/>
  <c r="F4" i="109"/>
  <c r="N4" i="109" s="1"/>
  <c r="GM8" i="69"/>
  <c r="J7" i="79" s="1"/>
  <c r="CV8" i="69"/>
  <c r="CT8" i="69"/>
  <c r="BE8" i="69"/>
  <c r="BG8" i="69"/>
  <c r="GM7" i="69"/>
  <c r="J6" i="79" s="1"/>
  <c r="CV7" i="69"/>
  <c r="CT7" i="69"/>
  <c r="BE7" i="69"/>
  <c r="AI7" i="69"/>
  <c r="Z7" i="69"/>
  <c r="X7" i="69"/>
  <c r="S7" i="69"/>
  <c r="P7" i="69"/>
  <c r="O7" i="69"/>
  <c r="M7" i="69"/>
  <c r="H7" i="69"/>
  <c r="GM5" i="69"/>
  <c r="J4" i="79" s="1"/>
  <c r="CV5" i="69"/>
  <c r="CT5" i="69"/>
  <c r="BE5" i="69"/>
  <c r="GC5" i="69" s="1"/>
  <c r="AI5" i="69"/>
  <c r="X5" i="69"/>
  <c r="S5" i="69"/>
  <c r="P5" i="69"/>
  <c r="O5" i="69"/>
  <c r="M5" i="69"/>
  <c r="BG5" i="69" s="1"/>
  <c r="H5" i="69"/>
  <c r="GM4" i="69"/>
  <c r="J3" i="79" s="1"/>
  <c r="CV4" i="69"/>
  <c r="CT4" i="69"/>
  <c r="BE4" i="69"/>
  <c r="GC4" i="69" s="1"/>
  <c r="AI4" i="69"/>
  <c r="AD4" i="69"/>
  <c r="AK4" i="69" s="1"/>
  <c r="Z4" i="69"/>
  <c r="X4" i="69"/>
  <c r="S4" i="69"/>
  <c r="P4" i="69"/>
  <c r="O4" i="69"/>
  <c r="M4" i="69"/>
  <c r="H4" i="69"/>
  <c r="K7" i="429"/>
  <c r="J6" i="429"/>
  <c r="GM9" i="69"/>
  <c r="J8" i="79" s="1"/>
  <c r="FY9" i="69"/>
  <c r="FX9" i="69"/>
  <c r="FV9" i="69"/>
  <c r="FZ9" i="69" s="1"/>
  <c r="CV9" i="69"/>
  <c r="CT9" i="69"/>
  <c r="CS9" i="69"/>
  <c r="BE9" i="69"/>
  <c r="AE9" i="88" s="1"/>
  <c r="V9" i="88" s="1"/>
  <c r="AD9" i="69"/>
  <c r="Z9" i="69"/>
  <c r="X9" i="69"/>
  <c r="S9" i="69"/>
  <c r="P9" i="69"/>
  <c r="O9" i="69"/>
  <c r="M9" i="69"/>
  <c r="BG9" i="69" s="1"/>
  <c r="FP9" i="69" s="1"/>
  <c r="AA7" i="429"/>
  <c r="X7" i="429"/>
  <c r="W7" i="429"/>
  <c r="J7" i="429"/>
  <c r="G7" i="429"/>
  <c r="D7" i="429"/>
  <c r="AA9" i="429"/>
  <c r="X9" i="429"/>
  <c r="W9" i="429"/>
  <c r="K9" i="429"/>
  <c r="J9" i="429"/>
  <c r="I9" i="429"/>
  <c r="G9" i="429"/>
  <c r="D9" i="429"/>
  <c r="AA8" i="429"/>
  <c r="X8" i="429"/>
  <c r="W8" i="429"/>
  <c r="K8" i="429"/>
  <c r="J8" i="429"/>
  <c r="I8" i="429"/>
  <c r="G8" i="429"/>
  <c r="D8" i="429"/>
  <c r="A2" i="429"/>
  <c r="P7" i="444"/>
  <c r="L7" i="444"/>
  <c r="I7" i="444"/>
  <c r="G7" i="444"/>
  <c r="D7" i="444"/>
  <c r="L6" i="444"/>
  <c r="I6" i="444"/>
  <c r="G6" i="444"/>
  <c r="D6" i="444"/>
  <c r="A2" i="444"/>
  <c r="Z7" i="429"/>
  <c r="V7" i="429" s="1"/>
  <c r="C7" i="429"/>
  <c r="Z9" i="429"/>
  <c r="V9" i="429" s="1"/>
  <c r="C9" i="429"/>
  <c r="Z8" i="429"/>
  <c r="V8" i="429" s="1"/>
  <c r="C8" i="429"/>
  <c r="R6" i="444"/>
  <c r="R7" i="444"/>
  <c r="BK9" i="88" l="1"/>
  <c r="AV9" i="69"/>
  <c r="I11" i="444"/>
  <c r="BC9" i="88"/>
  <c r="S8" i="79"/>
  <c r="R8" i="79"/>
  <c r="O8" i="79"/>
  <c r="M8" i="79"/>
  <c r="Y8" i="79" s="1"/>
  <c r="S3" i="79"/>
  <c r="R3" i="79"/>
  <c r="O3" i="79"/>
  <c r="M3" i="79"/>
  <c r="Y3" i="79" s="1"/>
  <c r="S4" i="79"/>
  <c r="R4" i="79"/>
  <c r="O4" i="79"/>
  <c r="M4" i="79"/>
  <c r="Y4" i="79" s="1"/>
  <c r="S6" i="79"/>
  <c r="R6" i="79"/>
  <c r="O6" i="79"/>
  <c r="M6" i="79"/>
  <c r="Y6" i="79" s="1"/>
  <c r="S7" i="79"/>
  <c r="R7" i="79"/>
  <c r="O7" i="79"/>
  <c r="M7" i="79"/>
  <c r="Y7" i="79" s="1"/>
  <c r="GC7" i="69"/>
  <c r="GC8" i="69"/>
  <c r="K6" i="429"/>
  <c r="I6" i="429"/>
  <c r="Y6" i="429"/>
  <c r="BG7" i="69"/>
  <c r="GC9" i="69"/>
  <c r="FW9" i="69"/>
  <c r="GA9" i="69" s="1"/>
  <c r="GB9" i="69" s="1"/>
  <c r="CR9" i="69"/>
  <c r="DC4" i="69"/>
  <c r="BG4" i="69"/>
  <c r="E8" i="429"/>
  <c r="F8" i="429" s="1"/>
  <c r="E9" i="429"/>
  <c r="F9" i="429" s="1"/>
  <c r="J6" i="444"/>
  <c r="E7" i="429"/>
  <c r="F7" i="429" s="1"/>
  <c r="J7" i="444"/>
  <c r="M8" i="429"/>
  <c r="M9" i="429"/>
  <c r="M7" i="429"/>
  <c r="Y4" i="109"/>
  <c r="K4" i="109" s="1"/>
  <c r="V4" i="109"/>
  <c r="R4" i="109"/>
  <c r="H4" i="109"/>
  <c r="T8" i="429"/>
  <c r="S8" i="429" s="1"/>
  <c r="P8" i="429"/>
  <c r="R8" i="429" s="1"/>
  <c r="L8" i="429"/>
  <c r="T9" i="429"/>
  <c r="S9" i="429" s="1"/>
  <c r="P9" i="429"/>
  <c r="R9" i="429" s="1"/>
  <c r="L9" i="429"/>
  <c r="T7" i="429"/>
  <c r="P7" i="429"/>
  <c r="R7" i="429" s="1"/>
  <c r="L7" i="429"/>
  <c r="F6" i="429" l="1"/>
  <c r="I7" i="429"/>
  <c r="S7" i="429" s="1"/>
  <c r="Y7" i="429"/>
  <c r="Q6" i="444"/>
  <c r="Q7" i="444"/>
  <c r="Y8" i="429"/>
  <c r="Y9" i="429"/>
  <c r="R5" i="109"/>
  <c r="Q6" i="109" s="1"/>
  <c r="R6" i="109" s="1"/>
  <c r="Q7" i="109" s="1"/>
  <c r="R7" i="109" s="1"/>
  <c r="Q9" i="109" s="1"/>
  <c r="R9" i="109" s="1"/>
  <c r="Q10" i="109" s="1"/>
  <c r="R10" i="109" s="1"/>
  <c r="T6" i="429" l="1"/>
  <c r="S6" i="429" s="1"/>
  <c r="P6" i="429"/>
  <c r="R6" i="429" s="1"/>
  <c r="L6" i="429"/>
  <c r="K6" i="444"/>
  <c r="O6" i="444" s="1"/>
  <c r="K7" i="444"/>
  <c r="O7" i="444" s="1"/>
  <c r="O6" i="429" l="1"/>
  <c r="N7" i="429" s="1"/>
  <c r="O7" i="429" l="1"/>
  <c r="N8" i="429" s="1"/>
  <c r="O8" i="429" s="1"/>
  <c r="N9" i="429" s="1"/>
  <c r="O9" i="429" s="1"/>
  <c r="U6" i="444"/>
  <c r="T7" i="444" l="1"/>
  <c r="U7" i="444" s="1"/>
  <c r="T8" i="444" s="1"/>
  <c r="U8" i="444" s="1"/>
  <c r="T9" i="444" s="1"/>
  <c r="U9" i="444" s="1"/>
  <c r="T10" i="444" s="1"/>
  <c r="U10" i="444" s="1"/>
  <c r="T11" i="444" s="1"/>
  <c r="U11" i="444" s="1"/>
  <c r="T12" i="444" s="1"/>
  <c r="U12" i="444" s="1"/>
</calcChain>
</file>

<file path=xl/sharedStrings.xml><?xml version="1.0" encoding="utf-8"?>
<sst xmlns="http://schemas.openxmlformats.org/spreadsheetml/2006/main" count="2159" uniqueCount="1026">
  <si>
    <t>mm</t>
  </si>
  <si>
    <t>JOB NAME</t>
  </si>
  <si>
    <t>PASS</t>
  </si>
  <si>
    <t>MICRON</t>
  </si>
  <si>
    <t>UNIT</t>
  </si>
  <si>
    <t>PET</t>
  </si>
  <si>
    <t>FILM TYPE</t>
  </si>
  <si>
    <t>From</t>
  </si>
  <si>
    <t>To</t>
  </si>
  <si>
    <t>PRIMARY FILM</t>
  </si>
  <si>
    <t>SECONDARY FILM</t>
  </si>
  <si>
    <t>TERTIARY FILM</t>
  </si>
  <si>
    <t>Job Name</t>
  </si>
  <si>
    <t>PACKING</t>
  </si>
  <si>
    <t>Type</t>
  </si>
  <si>
    <t xml:space="preserve">FILM </t>
  </si>
  <si>
    <t>FILM WIDTH</t>
  </si>
  <si>
    <t>FILM DENSITY</t>
  </si>
  <si>
    <t>PRINTED FILM GSM</t>
  </si>
  <si>
    <t xml:space="preserve">SECONDARY FILM </t>
  </si>
  <si>
    <t>SECONDARY FILM TYPE</t>
  </si>
  <si>
    <t>SECONDARY FILM DENSITY</t>
  </si>
  <si>
    <t>SECONDARY FILM GSM</t>
  </si>
  <si>
    <t>DESCRIPTION PRIMARY FILM</t>
  </si>
  <si>
    <t>Met Pet</t>
  </si>
  <si>
    <t>Corona</t>
  </si>
  <si>
    <t>Code</t>
  </si>
  <si>
    <t xml:space="preserve">TERTIARY FILM </t>
  </si>
  <si>
    <t>TERTIARY FILM TYPE</t>
  </si>
  <si>
    <t>TERTIARY  FILM GSM</t>
  </si>
  <si>
    <t>DESCRIPTION TERTIARY FILM</t>
  </si>
  <si>
    <t>PRINTING PROCESS</t>
  </si>
  <si>
    <t>BARE FILM GSM</t>
  </si>
  <si>
    <t>CYLN.LENGTH</t>
  </si>
  <si>
    <t>CYLN.CIRCUM</t>
  </si>
  <si>
    <t>COIL WIDTH(MM)</t>
  </si>
  <si>
    <t>COIL REPEAT(MM)</t>
  </si>
  <si>
    <t>CYLN.MAKER</t>
  </si>
  <si>
    <t>INK SYSTEM</t>
  </si>
  <si>
    <t>CUSTOMER NAME</t>
  </si>
  <si>
    <t>EXTRUSION LAMINATION</t>
  </si>
  <si>
    <t>EXTRUSION GSM</t>
  </si>
  <si>
    <t>RATIO  LDPE</t>
  </si>
  <si>
    <t>RATIO  COPOLYMER</t>
  </si>
  <si>
    <t>RATIO  WMB</t>
  </si>
  <si>
    <t>1st</t>
  </si>
  <si>
    <t>EXTRUSION COLOUR</t>
  </si>
  <si>
    <t>White</t>
  </si>
  <si>
    <t>EXTRUSION LAMINATE GSM</t>
  </si>
  <si>
    <t>LINE SPEED  MPM</t>
  </si>
  <si>
    <t>SOLVENT LESS</t>
  </si>
  <si>
    <t>POUCHING</t>
  </si>
  <si>
    <t>MACHINE SPEED</t>
  </si>
  <si>
    <t>SLITTING</t>
  </si>
  <si>
    <t>COIL REPEAT</t>
  </si>
  <si>
    <t>MACHINE SPEED MPM</t>
  </si>
  <si>
    <t>COIL OD</t>
  </si>
  <si>
    <t>COIL WT</t>
  </si>
  <si>
    <t>FINAL UN-DIRECTION</t>
  </si>
  <si>
    <t>CFC BOX SIZE</t>
  </si>
  <si>
    <t>NO OF COIL IN A BOX</t>
  </si>
  <si>
    <t>NET BOX WT</t>
  </si>
  <si>
    <t xml:space="preserve"> NO OF CORE  PLUG</t>
  </si>
  <si>
    <t>NO OF POUCH IN A BOX</t>
  </si>
  <si>
    <t>CFC BOX VOLUME</t>
  </si>
  <si>
    <t>POUCH CFC BOX SIZE</t>
  </si>
  <si>
    <t>POUCH CFC BOX TYPE(PLY)</t>
  </si>
  <si>
    <t>CFC BOX TYPE(PLY)</t>
  </si>
  <si>
    <t>TOTAL LAMINATE GSM</t>
  </si>
  <si>
    <t>CORE TYPE</t>
  </si>
  <si>
    <t>CORE ID</t>
  </si>
  <si>
    <t>CORE THICKNESS</t>
  </si>
  <si>
    <t>NO OF CYLINDER/COLOUR</t>
  </si>
  <si>
    <t>SW-Substrate</t>
  </si>
  <si>
    <t>Output    (Kgs)</t>
  </si>
  <si>
    <t>Extrusion Colour</t>
  </si>
  <si>
    <t>Output    (Mtr)</t>
  </si>
  <si>
    <t>Remarks</t>
  </si>
  <si>
    <t>Input Printed qty(kg)</t>
  </si>
  <si>
    <t>Ptd Length (mtr)</t>
  </si>
  <si>
    <t>1st Pass Speed MPM</t>
  </si>
  <si>
    <t>1ST PASS AHHESIVE GRADE</t>
  </si>
  <si>
    <t>1ST PASS HARDNER GRADE</t>
  </si>
  <si>
    <t>1ST PASS ADHESIVE SOLID %</t>
  </si>
  <si>
    <t>1ST PASS HARDNER SOLID %</t>
  </si>
  <si>
    <t>1ST PASS ADHESIVE RATIO</t>
  </si>
  <si>
    <t>1ST PASS HARDNER RATIO</t>
  </si>
  <si>
    <t>1ST PASS APPLICATION GSM</t>
  </si>
  <si>
    <t>2ND Pass Speed MPM</t>
  </si>
  <si>
    <t>2ND PASS AHHESIVE GRADE</t>
  </si>
  <si>
    <t>2ND PASS HARDNER GRADE</t>
  </si>
  <si>
    <t>2ND PASS ADHESIVE SOLID %</t>
  </si>
  <si>
    <t>2ND PASS HARDNER SOLID %</t>
  </si>
  <si>
    <t>2ND PASS ADHESIVE RATIO</t>
  </si>
  <si>
    <t>2ND PASS HARDNER RATIO</t>
  </si>
  <si>
    <t>2ND PASS APPLICATION GSM</t>
  </si>
  <si>
    <t>2ND PASS WT OF 1KM OUTPUT</t>
  </si>
  <si>
    <t>1st Pass Total Laminate GSM</t>
  </si>
  <si>
    <t>2nd Pass Total Laminate GSM</t>
  </si>
  <si>
    <t xml:space="preserve"> </t>
  </si>
  <si>
    <t>2nd pass</t>
  </si>
  <si>
    <t>Packing Type</t>
  </si>
  <si>
    <t>WT OF 1MTR TERTIARY FILM</t>
  </si>
  <si>
    <t>Chemical</t>
  </si>
  <si>
    <t>NA</t>
  </si>
  <si>
    <t>X</t>
  </si>
  <si>
    <t>x</t>
  </si>
  <si>
    <t>Extrusion</t>
  </si>
  <si>
    <t>Extn     GSM</t>
  </si>
  <si>
    <t>SW-   Qty     (kgs)</t>
  </si>
  <si>
    <t>Run    Hrs</t>
  </si>
  <si>
    <t xml:space="preserve"> Kg Qty</t>
  </si>
  <si>
    <t>KM</t>
  </si>
  <si>
    <t>KG</t>
  </si>
  <si>
    <t>UOM</t>
  </si>
  <si>
    <t>NO</t>
  </si>
  <si>
    <t>B</t>
  </si>
  <si>
    <t>E</t>
  </si>
  <si>
    <t>THE ENGRAVURE</t>
  </si>
  <si>
    <t>BOPP</t>
  </si>
  <si>
    <t>Qty(Kgs)</t>
  </si>
  <si>
    <t>Horizontal UP</t>
  </si>
  <si>
    <t>Vertical UP</t>
  </si>
  <si>
    <t>Design Width  mm</t>
  </si>
  <si>
    <t>PLY</t>
  </si>
  <si>
    <t>Pouch Height   (mm)</t>
  </si>
  <si>
    <t>GSM/TOT GSM</t>
  </si>
  <si>
    <t>RATIO</t>
  </si>
  <si>
    <t>BST</t>
  </si>
  <si>
    <t>Closed Pouch Dimention</t>
  </si>
  <si>
    <t>LAM1</t>
  </si>
  <si>
    <t>Adv1 Gsm</t>
  </si>
  <si>
    <t>Adv2 Gsm</t>
  </si>
  <si>
    <t>Slitting</t>
  </si>
  <si>
    <t>PE</t>
  </si>
  <si>
    <t>1st Pass</t>
  </si>
  <si>
    <t>2nd Pass</t>
  </si>
  <si>
    <t>3rd pass</t>
  </si>
  <si>
    <t>L</t>
  </si>
  <si>
    <t>AVG S.LESS SPEED(ALL CELL SHOULD BE 300)</t>
  </si>
  <si>
    <t>Next.Process of Ptd WIP</t>
  </si>
  <si>
    <t>Next process of Extrusion Wip</t>
  </si>
  <si>
    <t>Next process of 1st pass Wip</t>
  </si>
  <si>
    <t>solv.Less</t>
  </si>
  <si>
    <t>Next process of 2nd  pass Wip</t>
  </si>
  <si>
    <t>ply</t>
  </si>
  <si>
    <t>SPECIFICATION SHEET-new</t>
  </si>
  <si>
    <t>Mic</t>
  </si>
  <si>
    <t>Target GSM</t>
  </si>
  <si>
    <t>Mother/Job Name</t>
  </si>
  <si>
    <t>LAM2</t>
  </si>
  <si>
    <t>CUSTOMER</t>
  </si>
  <si>
    <t>ORDER</t>
  </si>
  <si>
    <t>TYPE</t>
  </si>
  <si>
    <t>FULL-DESCRIPTION SECONDARY FILM</t>
  </si>
  <si>
    <t>(Natural)</t>
  </si>
  <si>
    <t>(White)</t>
  </si>
  <si>
    <t>WO No</t>
  </si>
  <si>
    <t>1st Pass GSM</t>
  </si>
  <si>
    <t>1ST PASS</t>
  </si>
  <si>
    <t>Solv.Less</t>
  </si>
  <si>
    <t>1st film Type</t>
  </si>
  <si>
    <t>2nd film Composite Type</t>
  </si>
  <si>
    <t>Printed Film</t>
  </si>
  <si>
    <t>1st Pass Film</t>
  </si>
  <si>
    <t>BFL  FILM Type</t>
  </si>
  <si>
    <t>OIL</t>
  </si>
  <si>
    <t>TEA</t>
  </si>
  <si>
    <t>BISCUITE</t>
  </si>
  <si>
    <t>PAPER</t>
  </si>
  <si>
    <t>thick</t>
  </si>
  <si>
    <t>Roll/Pouch</t>
  </si>
  <si>
    <t>Roll</t>
  </si>
  <si>
    <t>Qty(Nos)</t>
  </si>
  <si>
    <t>So No</t>
  </si>
  <si>
    <t>Standard wastage</t>
  </si>
  <si>
    <t>Pouch Open Width -CW   (mm)</t>
  </si>
  <si>
    <t>PRN</t>
  </si>
  <si>
    <t>LAM 1</t>
  </si>
  <si>
    <t>Remark</t>
  </si>
  <si>
    <t>SO No</t>
  </si>
  <si>
    <t>Print Km</t>
  </si>
  <si>
    <t>Total GSM</t>
  </si>
  <si>
    <t>SLIT WIDTH</t>
  </si>
  <si>
    <t>Ext</t>
  </si>
  <si>
    <t>Sol Base</t>
  </si>
  <si>
    <t>Sol Less</t>
  </si>
  <si>
    <t>LAM-1 RM</t>
  </si>
  <si>
    <t>LAM-1 RM Micron</t>
  </si>
  <si>
    <t>LAM-1 RM Width in MTR</t>
  </si>
  <si>
    <t xml:space="preserve">LAM-1 RM Qty </t>
  </si>
  <si>
    <t>LAM TYPE</t>
  </si>
  <si>
    <t>LAM-2 RM</t>
  </si>
  <si>
    <t>LAM-2 RM Micron</t>
  </si>
  <si>
    <t>LAM-2 RM Width in MTR</t>
  </si>
  <si>
    <t xml:space="preserve">LAA-2 RM QTY </t>
  </si>
  <si>
    <t>PRN GSM</t>
  </si>
  <si>
    <t>Ink</t>
  </si>
  <si>
    <t>Ist Pass Adh</t>
  </si>
  <si>
    <t>2nd Pass Adh</t>
  </si>
  <si>
    <t>conv. factor</t>
  </si>
  <si>
    <t>Prn Width  Mtr</t>
  </si>
  <si>
    <t>Prn  Mic</t>
  </si>
  <si>
    <t>Stock</t>
  </si>
  <si>
    <t>Extrusion GSM</t>
  </si>
  <si>
    <t>Std Wastage</t>
  </si>
  <si>
    <t>PELICAN_ 1</t>
  </si>
  <si>
    <t>X-pected  KG</t>
  </si>
  <si>
    <t>FG.Code</t>
  </si>
  <si>
    <t>PENDING ORDER STATUS</t>
  </si>
  <si>
    <t>POUCH</t>
  </si>
  <si>
    <t>SPICE</t>
  </si>
  <si>
    <t>L/S (mpm)</t>
  </si>
  <si>
    <t>FONGKEE -1</t>
  </si>
  <si>
    <t>PTD</t>
  </si>
  <si>
    <t>Ptd RM</t>
  </si>
  <si>
    <t>Lam 1 RM</t>
  </si>
  <si>
    <t>APO</t>
  </si>
  <si>
    <t>TPO</t>
  </si>
  <si>
    <t>JCO   Hrs</t>
  </si>
  <si>
    <t>Run Time Hrs</t>
  </si>
  <si>
    <t>Avg   MPM</t>
  </si>
  <si>
    <t>(Promo/PKD/Address/MRP)</t>
  </si>
  <si>
    <t>WO/ no</t>
  </si>
  <si>
    <t>WO/no</t>
  </si>
  <si>
    <t>S</t>
  </si>
  <si>
    <t>bfl indent</t>
  </si>
  <si>
    <t>10mm/15mm CONCEPT</t>
  </si>
  <si>
    <t>CHV   hrs</t>
  </si>
  <si>
    <t>Specification</t>
  </si>
  <si>
    <t>roll/pouch</t>
  </si>
  <si>
    <t>Tot    Hrs</t>
  </si>
  <si>
    <t xml:space="preserve">Primary- substrate  </t>
  </si>
  <si>
    <t>CW</t>
  </si>
  <si>
    <t>2PLY</t>
  </si>
  <si>
    <t>3PLY</t>
  </si>
  <si>
    <t>4PLY</t>
  </si>
  <si>
    <t>1PLY</t>
  </si>
  <si>
    <t>SO no</t>
  </si>
  <si>
    <t>3ply</t>
  </si>
  <si>
    <t>Printed Film OUTPUT-KG</t>
  </si>
  <si>
    <t>Printed Film  OUTPUT-KM</t>
  </si>
  <si>
    <t>SL SLEEVE</t>
  </si>
  <si>
    <t>SL SLEEVE   SIZE(MM)</t>
  </si>
  <si>
    <t>SB-SLEEVE   SIZE(MM)</t>
  </si>
  <si>
    <t>2ND PASS</t>
  </si>
  <si>
    <t>SB.SLEEVE</t>
  </si>
  <si>
    <t xml:space="preserve">PKD </t>
  </si>
  <si>
    <t>Devition RM / Remarks</t>
  </si>
  <si>
    <t>TRIM PTD FILM</t>
  </si>
  <si>
    <t>SW-1 GSM</t>
  </si>
  <si>
    <t>SW-2 GSM</t>
  </si>
  <si>
    <t>( OD 2.2+)</t>
  </si>
  <si>
    <t>JOB GRADE</t>
  </si>
  <si>
    <t>FLOW WRAP</t>
  </si>
  <si>
    <t>SNACKS</t>
  </si>
  <si>
    <t>POUCH WT</t>
  </si>
  <si>
    <t>SLT-STATUS</t>
  </si>
  <si>
    <t>GRADE</t>
  </si>
  <si>
    <t>SO/ no.</t>
  </si>
  <si>
    <t>Met Pet Corona</t>
  </si>
  <si>
    <t>PE (Natural)</t>
  </si>
  <si>
    <t>FG
Code</t>
  </si>
  <si>
    <t>TOTAL</t>
  </si>
  <si>
    <t>DATED</t>
  </si>
  <si>
    <t>MT</t>
  </si>
  <si>
    <t>STATUS</t>
  </si>
  <si>
    <t>YEAR</t>
  </si>
  <si>
    <t>MONTH</t>
  </si>
  <si>
    <t>REMARKS</t>
  </si>
  <si>
    <t>ORDER DATE</t>
  </si>
  <si>
    <t>DELV.DATE</t>
  </si>
  <si>
    <t>MKT</t>
  </si>
  <si>
    <t>PTD TRANSFER</t>
  </si>
  <si>
    <t>PTD WIP</t>
  </si>
  <si>
    <t>EXTRUSION</t>
  </si>
  <si>
    <t>TARGET</t>
  </si>
  <si>
    <t>TRNS</t>
  </si>
  <si>
    <t>EXT  WIP</t>
  </si>
  <si>
    <t>NEXT PROCESS OF PTD</t>
  </si>
  <si>
    <t>NEXT OF EXTN</t>
  </si>
  <si>
    <t>TRANS</t>
  </si>
  <si>
    <t>WIP</t>
  </si>
  <si>
    <t>NEXT OF LAM 1</t>
  </si>
  <si>
    <t>FOR SLITTING</t>
  </si>
  <si>
    <t>LAM 2</t>
  </si>
  <si>
    <t>FINAL SLITTED</t>
  </si>
  <si>
    <t>REMARK</t>
  </si>
  <si>
    <t xml:space="preserve">TOTAL  PTD </t>
  </si>
  <si>
    <t>TARGET Output</t>
  </si>
  <si>
    <t>TO PRINT</t>
  </si>
  <si>
    <t>R/P</t>
  </si>
  <si>
    <t>1ST LAM GSM</t>
  </si>
  <si>
    <t>WIDTH</t>
  </si>
  <si>
    <t>Extrusion FINAL GSM</t>
  </si>
  <si>
    <t>WO</t>
  </si>
  <si>
    <t>AVAILABLE</t>
  </si>
  <si>
    <t>FROM</t>
  </si>
  <si>
    <t>TO</t>
  </si>
  <si>
    <t>EXT</t>
  </si>
  <si>
    <t>DATE</t>
  </si>
  <si>
    <t>SO.No</t>
  </si>
  <si>
    <t>Input  km</t>
  </si>
  <si>
    <t>Pass to do</t>
  </si>
  <si>
    <t>Input-Primary-Film</t>
  </si>
  <si>
    <t>SW- Film Type</t>
  </si>
  <si>
    <t>Out Put.    Kgs</t>
  </si>
  <si>
    <t>Run Hrs</t>
  </si>
  <si>
    <t>1st.Layer GSM</t>
  </si>
  <si>
    <t>1st.Pass GSM</t>
  </si>
  <si>
    <t>Final GSM</t>
  </si>
  <si>
    <t>MANJUSHREE INNOVATION PVT LTD</t>
  </si>
  <si>
    <t>MACHINE PLAN PRINTING</t>
  </si>
  <si>
    <t>FILM 1</t>
  </si>
  <si>
    <t>stock</t>
  </si>
  <si>
    <t>ORDER BOOKING</t>
  </si>
  <si>
    <t>SO   DATE</t>
  </si>
  <si>
    <t>ECL ???</t>
  </si>
  <si>
    <t>ECL?</t>
  </si>
  <si>
    <t>DELIVERY</t>
  </si>
  <si>
    <t>SO DATE</t>
  </si>
  <si>
    <t>PTG bal</t>
  </si>
  <si>
    <t>NEW</t>
  </si>
  <si>
    <t>DELIVERY      DATE</t>
  </si>
  <si>
    <t>FILM</t>
  </si>
  <si>
    <t>THICKNESS</t>
  </si>
  <si>
    <t>KGS</t>
  </si>
  <si>
    <t xml:space="preserve">CC  Met Pet </t>
  </si>
  <si>
    <t>ITEMCODE</t>
  </si>
  <si>
    <t>STORESTOCK</t>
  </si>
  <si>
    <t>QCHOLD</t>
  </si>
  <si>
    <t>QCPENDING</t>
  </si>
  <si>
    <t>PROCESSSTOCK</t>
  </si>
  <si>
    <t>PENDINGMOVEMENT</t>
  </si>
  <si>
    <t>BOPP TAPE GRADE</t>
  </si>
  <si>
    <t>21MIC X 760MM TAPE GRADE BOPP</t>
  </si>
  <si>
    <t>BOPP TRANS BST</t>
  </si>
  <si>
    <t>12MIC X 970MM TPT BOPP BST</t>
  </si>
  <si>
    <t>12MIC X 1080MM TPT BOPP BST</t>
  </si>
  <si>
    <t>MATT FINISH BOPP</t>
  </si>
  <si>
    <t>MET BOPP HSL (LAM)</t>
  </si>
  <si>
    <t>18MIC X 960MM MET BOPP HSL</t>
  </si>
  <si>
    <t>PEARL BOPP</t>
  </si>
  <si>
    <t>CLEAR CPP HSL</t>
  </si>
  <si>
    <t>30MIC X 825MM CLEAR CPP HSL</t>
  </si>
  <si>
    <t>MET CPP LAM</t>
  </si>
  <si>
    <t>WHITE CPP</t>
  </si>
  <si>
    <t>CC PLASMA MET PET</t>
  </si>
  <si>
    <t>MATT FINISH POLYESTER</t>
  </si>
  <si>
    <t>MET PET (CORONA)</t>
  </si>
  <si>
    <t>12MIC X 650MM CT MET PET</t>
  </si>
  <si>
    <t>12MIC X 675MM CT MET PET</t>
  </si>
  <si>
    <t>12MIC X 790MM CT MET PET</t>
  </si>
  <si>
    <t>12MIC X 810MM CT MET PET</t>
  </si>
  <si>
    <t>12MIC X 820MM CT MET PET</t>
  </si>
  <si>
    <t>12MIC X 895MM CT MET PET</t>
  </si>
  <si>
    <t>12MIC X 910MM CT MET PET</t>
  </si>
  <si>
    <t>12MIC X 970MM CT MET PET</t>
  </si>
  <si>
    <t>12MIC X 1035MM CT MET PET</t>
  </si>
  <si>
    <t>MET PET PLASMA</t>
  </si>
  <si>
    <t>POLYESTER (CORONA)</t>
  </si>
  <si>
    <t>12MIC X 1035MM CT PET</t>
  </si>
  <si>
    <t>12MIC X 1065MM CT PET</t>
  </si>
  <si>
    <t>12MIC X 1175MM CT PET</t>
  </si>
  <si>
    <t>POLYESTER CHEMICAL COATED</t>
  </si>
  <si>
    <t>12MIC X 995MM CC PET</t>
  </si>
  <si>
    <t>12MIC X 1215MM CC PET</t>
  </si>
  <si>
    <t>POLYESTER HSL CORONA</t>
  </si>
  <si>
    <t>12MIC X 900MM CT PET HSL</t>
  </si>
  <si>
    <t>POLYESTER(PLAIN)</t>
  </si>
  <si>
    <t>1ST FILM-CODE</t>
  </si>
  <si>
    <t>FILM 2</t>
  </si>
  <si>
    <t>CODE2</t>
  </si>
  <si>
    <t>Met BOPP(HSL)</t>
  </si>
  <si>
    <t>white PE/SURFACE</t>
  </si>
  <si>
    <t>18MIC X 1068MM TPT BOPP BST</t>
  </si>
  <si>
    <t>FILM3</t>
  </si>
  <si>
    <t>EVERY TIME COPY-??MICRON/GSM AND MATERIAL CODECHECK?</t>
  </si>
  <si>
    <t>SURFACE?</t>
  </si>
  <si>
    <t>PRN BOM QTY</t>
  </si>
  <si>
    <t>SUB GRADE</t>
  </si>
  <si>
    <t>total pending Lamination[wip+not ptd}</t>
  </si>
  <si>
    <t>RM.REQ</t>
  </si>
  <si>
    <t>RM.AVL</t>
  </si>
  <si>
    <t>Machine Plan-"Lamination"</t>
  </si>
  <si>
    <t>1ST PASS OUTPUT</t>
  </si>
  <si>
    <t>FINAL OUTPUT</t>
  </si>
  <si>
    <t>SW2.LAYER GSM</t>
  </si>
  <si>
    <t>12MIC X 1115MM 2.2 OD CC MET PET</t>
  </si>
  <si>
    <t>12MIC X 900MM CT MET PET</t>
  </si>
  <si>
    <t>12MIC X 1155MM 2.2 OD CC MET PET</t>
  </si>
  <si>
    <t>SLEEVE</t>
  </si>
  <si>
    <t>MIN</t>
  </si>
  <si>
    <t>MAX</t>
  </si>
  <si>
    <t>FG NO</t>
  </si>
  <si>
    <t>12MIC X 1135MM 2.2 OD CC MET PET</t>
  </si>
  <si>
    <t>1ST PASS  WIP</t>
  </si>
  <si>
    <t>OIL SURFACE</t>
  </si>
  <si>
    <t>PRINTING- Substrate</t>
  </si>
  <si>
    <t>SPEED</t>
  </si>
  <si>
    <t>MACHINE-CL450</t>
  </si>
  <si>
    <t>RM STATUS</t>
  </si>
  <si>
    <t>ORDER QTY[MT]</t>
  </si>
  <si>
    <t>MIPL / PRD / FOR / 108
VER: 04;    REV: 03
DATE: 04.06.2019</t>
  </si>
  <si>
    <t>PRINTED</t>
  </si>
  <si>
    <t>NOT PTD</t>
  </si>
  <si>
    <t>SW1 GSM</t>
  </si>
  <si>
    <t>ITEMNAME</t>
  </si>
  <si>
    <t>ECL WIP</t>
  </si>
  <si>
    <t>18MIC X 850MM TPT BOPP BST</t>
  </si>
  <si>
    <t>12MIC X 730MM CT MET PET</t>
  </si>
  <si>
    <t>ITEMSUBTYPE</t>
  </si>
  <si>
    <t>10MIC X 995MM 2.8 OD CC MET PET</t>
  </si>
  <si>
    <t>AVL</t>
  </si>
  <si>
    <t>COLOUR</t>
  </si>
  <si>
    <t>NORD</t>
  </si>
  <si>
    <t>NORM-MC</t>
  </si>
  <si>
    <t>12MIC X 700MM CT MET PET</t>
  </si>
  <si>
    <t>Order Booking -2021</t>
  </si>
  <si>
    <t>OBB</t>
  </si>
  <si>
    <t>FG CODE</t>
  </si>
  <si>
    <t>10MIC X 915MM 2.2 OD CC MET PET</t>
  </si>
  <si>
    <t>10MIC X 1135MM 2.2 OD CC MET PET</t>
  </si>
  <si>
    <t>10MIC X 1050MM CC PET</t>
  </si>
  <si>
    <t>10MIC X 865MM CC PET</t>
  </si>
  <si>
    <t>12MIC X 735MM CT PET</t>
  </si>
  <si>
    <t>21MIC X 990MM TAPE GRADE BOPP</t>
  </si>
  <si>
    <t>10MIC X 610MM PLAIN PET</t>
  </si>
  <si>
    <t>12MIC X 695MM CT PET</t>
  </si>
  <si>
    <t>12MIC X 990MM CT PET</t>
  </si>
  <si>
    <t>15MIC X 675MM CC PET</t>
  </si>
  <si>
    <t>RM Status</t>
  </si>
  <si>
    <t>15MIC X 920MM TPT BOPP BST</t>
  </si>
  <si>
    <t>12MIC X 915MM CT MATT FINISH PET</t>
  </si>
  <si>
    <t>12MIC X 855MM CT PET</t>
  </si>
  <si>
    <t>12MIC X 915MM CT PET</t>
  </si>
  <si>
    <t>MACHINE PLAN - "CO-EXTRUSION LAMINATION"</t>
  </si>
  <si>
    <t>MANJUSHREE INNOVATION PVT. LTD.</t>
  </si>
  <si>
    <t>PETLAR-ALP-B1/10</t>
  </si>
  <si>
    <t>12MIC X 680MM CT PET</t>
  </si>
  <si>
    <t>12MIC X 705MM CT PET</t>
  </si>
  <si>
    <t>`</t>
  </si>
  <si>
    <t>12MIC X 775MM CT PET</t>
  </si>
  <si>
    <t>18MIC X 1005MM MET BOPP HSL</t>
  </si>
  <si>
    <t>12MIC X 900MM CT PET</t>
  </si>
  <si>
    <t>12MIC X 825MM CT PET</t>
  </si>
  <si>
    <t>18MIC X 790MM MATT FINISH BOPP BST</t>
  </si>
  <si>
    <t>10MIC X 1165MM PLAIN PET</t>
  </si>
  <si>
    <t>10MIC X 805MM CC PET</t>
  </si>
  <si>
    <t>20MIC X 1110MM TPT BOPP BSHS-OST/LOW SIT</t>
  </si>
  <si>
    <t>12MIC X 1010MM CT MET PET</t>
  </si>
  <si>
    <t>wip</t>
  </si>
  <si>
    <t>SIZE</t>
  </si>
  <si>
    <t>.</t>
  </si>
  <si>
    <t>ITEM CODE</t>
  </si>
  <si>
    <t>ITEM NAME</t>
  </si>
  <si>
    <t>QTY</t>
  </si>
  <si>
    <t>ORDER NO</t>
  </si>
  <si>
    <t>PCS</t>
  </si>
  <si>
    <t>20MIC X 990MM MET CPP HSL 95 SIT</t>
  </si>
  <si>
    <t>12MIC X 1010MM CT PET</t>
  </si>
  <si>
    <t>10MIC X 795MM CC PET</t>
  </si>
  <si>
    <t>12MIC X 1055MM CT PET</t>
  </si>
  <si>
    <t>JOB GROUP</t>
  </si>
  <si>
    <t>JOB TYPE</t>
  </si>
  <si>
    <t>12MIC X 935MM CT PET</t>
  </si>
  <si>
    <t>BISCUITS</t>
  </si>
  <si>
    <t>30MIC X 735MM CLEAR CPP HSL</t>
  </si>
  <si>
    <t>NAME</t>
  </si>
  <si>
    <t>ORDER TYPE</t>
  </si>
  <si>
    <t>PARTY NAME</t>
  </si>
  <si>
    <t>SALE UNIT</t>
  </si>
  <si>
    <t>12MIC X 1215MM CT PET</t>
  </si>
  <si>
    <t>8MIC X 1010MM CC PET</t>
  </si>
  <si>
    <t>18MIC X 935MM MET BOPP HSL</t>
  </si>
  <si>
    <t>42GSM X 930MM POSTER PAPER(PREMIUM)</t>
  </si>
  <si>
    <t>12MIC X 865MM CT PET</t>
  </si>
  <si>
    <t>12MIC X 885MM 2.2 OD CC MET PET</t>
  </si>
  <si>
    <t>PENDINGPO</t>
  </si>
  <si>
    <t>12MIC X 1125MM CC PET</t>
  </si>
  <si>
    <t>last clear 22 SEPT</t>
  </si>
  <si>
    <t>10MIC X 710MM 2.5 OD PLASMA MET PET</t>
  </si>
  <si>
    <t>ALUMINIUM FOIL</t>
  </si>
  <si>
    <t>9MIC X 795MM ALUMINIUM FOIL</t>
  </si>
  <si>
    <t>DELIVERY DATE</t>
  </si>
  <si>
    <t>10MIC X 815MM CT MET PET</t>
  </si>
  <si>
    <t>12MIC X 770MM CT MET PET</t>
  </si>
  <si>
    <t>CUST TYPE</t>
  </si>
  <si>
    <t>35MIC X 655MM CLEAR CPP HSL</t>
  </si>
  <si>
    <t>10MIC X 1035MM 2.2 OD CC MET PET</t>
  </si>
  <si>
    <t>10MIC X 1120MM CT PET</t>
  </si>
  <si>
    <t>35MIC X 1035MM CLEAR CPP HSL</t>
  </si>
  <si>
    <t>18MIC X 990MM MATT FINISH BOPP BST</t>
  </si>
  <si>
    <t>10MIC X 975MM 2.2 OD CC MET PET</t>
  </si>
  <si>
    <t>12MIC X 535MM CT PET</t>
  </si>
  <si>
    <t>12MIC X 1095MM CT PET</t>
  </si>
  <si>
    <t>13MIC X 795MM HOLOGRAPHIC MET PET</t>
  </si>
  <si>
    <t>2ND</t>
  </si>
  <si>
    <t>ADH</t>
  </si>
  <si>
    <t>10MIC X 945MM CC PET</t>
  </si>
  <si>
    <t>8MIC X 795MM  CT PET</t>
  </si>
  <si>
    <t>8MIC X 825MM  CT PET</t>
  </si>
  <si>
    <t>12MIC X 565MM CT MET PET</t>
  </si>
  <si>
    <t>12MIC X 1190MM 2.2 OD CC MET PET</t>
  </si>
  <si>
    <t>10MIC X 1200MM CC PET</t>
  </si>
  <si>
    <t xml:space="preserve">10MIC X 1047MM 2.2 OD CC MET PET </t>
  </si>
  <si>
    <t>PPC Priority</t>
  </si>
  <si>
    <t>12MIC X 515MM CT PET</t>
  </si>
  <si>
    <t>8MIC X 785MM TPT BOPP BST</t>
  </si>
  <si>
    <t>40GSM X 925MM POSTER PAPER</t>
  </si>
  <si>
    <t>12MIC X 855MM 2.2 OD CC MET PET</t>
  </si>
  <si>
    <t>12MIC X 715MM CT PET</t>
  </si>
  <si>
    <t>12MIC X 925MM CC PET</t>
  </si>
  <si>
    <t>12MIC X 1005MM TPT BOPP BST</t>
  </si>
  <si>
    <t>8MIC X 925MM CC PET</t>
  </si>
  <si>
    <t>10MIC X 1075MM CT PET</t>
  </si>
  <si>
    <t>25MIC X 796MM PEARLIZED BOPP HST-2 (PL) BST&amp;HS</t>
  </si>
  <si>
    <t>12MIC X 860MM 2.8 OD CC MET PET</t>
  </si>
  <si>
    <t xml:space="preserve">15MIC X 1005MM  TPT BOPP BST </t>
  </si>
  <si>
    <t>8MIC X 1110MM CC MET PET</t>
  </si>
  <si>
    <t>8MIC X 1130MM CC MET PET</t>
  </si>
  <si>
    <t>8MIC X 1210MM CC MET PET</t>
  </si>
  <si>
    <t>10MIC X 1115MM  CT PET</t>
  </si>
  <si>
    <t>8MIC X 1135MM CC PET</t>
  </si>
  <si>
    <t>8MIC X 1215MM  CC PET</t>
  </si>
  <si>
    <t>12MIC X 1003MM CT PET</t>
  </si>
  <si>
    <t>10MIC X 795MM CT PET</t>
  </si>
  <si>
    <t>12MIC X 1165MM CT PET</t>
  </si>
  <si>
    <t>10MIC X 1015MM 2.2 OD CC MET PET</t>
  </si>
  <si>
    <t>10MIC X 1115MM 2.2 OD CC MET PET</t>
  </si>
  <si>
    <t>10MIC X 1155MM 2.2 OD CC MET PET</t>
  </si>
  <si>
    <t>12MIC X 985MM CC PET</t>
  </si>
  <si>
    <t>12MIC X 1025MM CC PET</t>
  </si>
  <si>
    <t>12MIC X 1165MM CC PET</t>
  </si>
  <si>
    <t>12MIC X 865MM CC PET</t>
  </si>
  <si>
    <t>10MIC X 855MM 2.2 OD CC MET PET</t>
  </si>
  <si>
    <t>TRANS BOPP HSL</t>
  </si>
  <si>
    <t>10MIC X 885MM 2.2 OD CC MET PET</t>
  </si>
  <si>
    <t>10MIC X 1040MM 2.2 OD CC MET PET</t>
  </si>
  <si>
    <t>8MIC X 985MM CC PET </t>
  </si>
  <si>
    <t>12MIC X 895MM CC PET</t>
  </si>
  <si>
    <t>12MIC X 1050MM CC PET</t>
  </si>
  <si>
    <t>12MIC X 1145MM CC PET</t>
  </si>
  <si>
    <t>10MIC X 945MM 2.2 OD CC MET PET</t>
  </si>
  <si>
    <t>10MIC X 990MM 2.2 OD CC MET PET</t>
  </si>
  <si>
    <t>10MIC X 1125MM 2.2 OD CC MET PET</t>
  </si>
  <si>
    <t xml:space="preserve">12MIC X 1000MM CC PET </t>
  </si>
  <si>
    <t xml:space="preserve">12MIC X 1135MM CC PET </t>
  </si>
  <si>
    <t>10MIC X 1100MM CT PET</t>
  </si>
  <si>
    <t>8MIC X 1115MM CC PET - 50% PCR</t>
  </si>
  <si>
    <t>10MIC X 1050MM CC PET - 50% PCR</t>
  </si>
  <si>
    <t>18MIC X 1089MM TPT BOPP BST</t>
  </si>
  <si>
    <t>BASE</t>
  </si>
  <si>
    <t>12MIC X 650MM CT PET</t>
  </si>
  <si>
    <t>12MIC X 790MM CT PET</t>
  </si>
  <si>
    <t>12MIC X 810MM CT PET</t>
  </si>
  <si>
    <t>12MIC X 850MM CT PET</t>
  </si>
  <si>
    <t>12MIC X 910MM CT PET</t>
  </si>
  <si>
    <t>12MIC X 970MM CT PET</t>
  </si>
  <si>
    <t>18MIC X 907MM TPT BOPP BST</t>
  </si>
  <si>
    <t>18MIC X 765MM HROB TPT BOPP BST</t>
  </si>
  <si>
    <t>18MIC X 565MM MATT FINISH BOPP</t>
  </si>
  <si>
    <t>MIPL / PRD / FOR / 107
VER: 05;  REV: 04
DATE: 16.11.2024</t>
  </si>
  <si>
    <t>MIPL / PRD / FOR / 106
VER: 05;   REV: 04
DATE: 06.11.2024</t>
  </si>
  <si>
    <t>12MIC X 1215MM 2.2 OD CC MET PET</t>
  </si>
  <si>
    <t>12MIC X 1225MM CC PET</t>
  </si>
  <si>
    <t>8MIC X 1005MM CT PET</t>
  </si>
  <si>
    <t>10MIC X 675MM CT PET</t>
  </si>
  <si>
    <t>30MIC X 198MM HEAT SEALABLE TPT BOPP</t>
  </si>
  <si>
    <t>8MIC X 1215MM CT PET</t>
  </si>
  <si>
    <t>8MIC X 1250MM CC PET</t>
  </si>
  <si>
    <t>12MIC X 1017MM CC PET</t>
  </si>
  <si>
    <t>840MM X 300GSM BOARD PAPER</t>
  </si>
  <si>
    <t>10MIC X 1240MM 2.5 OD CC MET PET</t>
  </si>
  <si>
    <t>10MIC X 1225MM CT PET</t>
  </si>
  <si>
    <t>10MIC X 1075MM 2.2 OD CC MET PET</t>
  </si>
  <si>
    <t>12MIC X 1085MM CC PET</t>
  </si>
  <si>
    <t>10MIC X 1015MM CT PET - 50% PCR</t>
  </si>
  <si>
    <t>20MIC X 1055MM MET CPP HSL</t>
  </si>
  <si>
    <t>10MIC X 1095MM 2.2 OD CC MET PET</t>
  </si>
  <si>
    <t>10MIC X 1190MM 2.2 OD CC MET PET</t>
  </si>
  <si>
    <t>12MIC X 1155MM CC PET - 50% PCR</t>
  </si>
  <si>
    <t>60GSM X 550MM VIRGIN KRAFT PAPER</t>
  </si>
  <si>
    <t xml:space="preserve">60GSM X 1250MM VIRGIN KRAFT PAPER </t>
  </si>
  <si>
    <t>12MIC X 775MM CC PET - 50% PCR</t>
  </si>
  <si>
    <t xml:space="preserve">10MIC X 1207MM 2.8 OD CC MET PET  </t>
  </si>
  <si>
    <t>12MIC X 675MM CC PET</t>
  </si>
  <si>
    <t>19MIC X 675MM CC PET</t>
  </si>
  <si>
    <t>18MIC X 650MM MATT FINISH BOPP</t>
  </si>
  <si>
    <t>8MIC X 1030MM CC MET PET</t>
  </si>
  <si>
    <t>MET PET (PLAIN)</t>
  </si>
  <si>
    <t>10MIC X 460MM LAM GOLDEN MET PET</t>
  </si>
  <si>
    <t>8MIC X 1035MM CC PET</t>
  </si>
  <si>
    <t>8MIC X 1115MM CC PET</t>
  </si>
  <si>
    <t>Cylinder Size</t>
  </si>
  <si>
    <t>12MIC X 1055MM CT MET PET</t>
  </si>
  <si>
    <t>12MIC X 1110MM CT MET PET</t>
  </si>
  <si>
    <t>12MIC X 1210MM CT MET PET</t>
  </si>
  <si>
    <t>12MIC X 1115MM CT PET</t>
  </si>
  <si>
    <t>12MIC X 1135MM CT PET</t>
  </si>
  <si>
    <t>12MIC X 949MM TPT BOPP BST</t>
  </si>
  <si>
    <t>18MIC X 939MM MET BOPP HSL</t>
  </si>
  <si>
    <t>18MIC X 945MM MET BOPP HSL -UULSMM-W</t>
  </si>
  <si>
    <t>10MIC X 975MM CT PET</t>
  </si>
  <si>
    <t>20MIC X 895MM LAP SEAL TPT BOPP (LS20T0)</t>
  </si>
  <si>
    <t>15MIC X 885MM MET BOPP NON HS M15SL4</t>
  </si>
  <si>
    <t>10MIC X 530MM PLAIN PET</t>
  </si>
  <si>
    <t>10MIC X 1015MM CT PET</t>
  </si>
  <si>
    <t>738MM X 250 GSM JKP TFC</t>
  </si>
  <si>
    <t>10MIC X 920MM 2.5 OD CC MET PET</t>
  </si>
  <si>
    <t>10MIC X 995MM 2.5 OD CC MET PET</t>
  </si>
  <si>
    <t>10MIC X 1115MM 2.5 OD CC MET PET</t>
  </si>
  <si>
    <t>12MIC X 1115MM 2.5 OD CC MET PET</t>
  </si>
  <si>
    <t>12MIC X 1065MM 2.5 OD CC MET PET</t>
  </si>
  <si>
    <t>10MIC X 795MM 2.8 OD CC MET PET</t>
  </si>
  <si>
    <t>15MIC X 955MM TPT BOPP BST</t>
  </si>
  <si>
    <t>12MIC X 920MM CT MET PET</t>
  </si>
  <si>
    <t>10MIC X 925MM 2.2 OD CC MET PET</t>
  </si>
  <si>
    <t>12MIC X 940MM CC PET</t>
  </si>
  <si>
    <t>12MIC X 1020MM CT PET</t>
  </si>
  <si>
    <t>15MIC X 989MM TPT BOPP BST</t>
  </si>
  <si>
    <t>12MIC X 1185MM CT PET</t>
  </si>
  <si>
    <t>10MIC X 730MM CT MET PET</t>
  </si>
  <si>
    <t>10MIC X 790MM CT MET PET</t>
  </si>
  <si>
    <t>10MIC X 1005MM CT MET PET</t>
  </si>
  <si>
    <t>10MIC X 735MM CT PET</t>
  </si>
  <si>
    <t>10MIC X 1005MM CT PET</t>
  </si>
  <si>
    <t>30MIC X 170MM HEAT SEALABLE TPT BOPP</t>
  </si>
  <si>
    <t>12MIC X 565MM CT PET</t>
  </si>
  <si>
    <t>ITEMTYPE</t>
  </si>
  <si>
    <t>CPP</t>
  </si>
  <si>
    <t>FOIL</t>
  </si>
  <si>
    <t>POLYESTER</t>
  </si>
  <si>
    <t>THICK</t>
  </si>
  <si>
    <t>PE(N)</t>
  </si>
  <si>
    <t>30MIC X 705MM NATURAL PE (SALT POLY/SELANT GRADE)</t>
  </si>
  <si>
    <t>45MIC X 900MM NATURAL PE ( TEA )</t>
  </si>
  <si>
    <t>40MIC X 615MM NATURAL PE ( TEA )</t>
  </si>
  <si>
    <t>25MIC X 1047MM NATURAL PE (SHAMPOO)</t>
  </si>
  <si>
    <t>85MIC X 545MM NATURAL PE [LIQUID STANUP]</t>
  </si>
  <si>
    <t>65MIC X 1155MM NATURAL PE (NAMKEEN)</t>
  </si>
  <si>
    <t>PE(W)</t>
  </si>
  <si>
    <t>80MIC X 815MM WHITE PE (DETERGENT POWDER 1KG)</t>
  </si>
  <si>
    <t>25MIC X1015MM WHITE PE(CAVINKARE FLOW WRAP)</t>
  </si>
  <si>
    <t>105MIC X 660MM WHITE PE (SURFACE OIL PRINT) 6.5% NYLON AND MINIMUM 85% OPACITY</t>
  </si>
  <si>
    <t>105MIC X 985MM WHITE PE (SURFACE OIL PRINT) NYLON</t>
  </si>
  <si>
    <t>75MIC X 715MM WHITE PE (LUBERON OIL)</t>
  </si>
  <si>
    <t>60MIC X 675MM WHITE PE(AASHIRVAD ATTA 5KG)</t>
  </si>
  <si>
    <t>10MIC X 870MM CT MET PET</t>
  </si>
  <si>
    <t>10MIC X 820MM CT PET</t>
  </si>
  <si>
    <t>65GSM X 720MM VIRGIN KRAFT PAPER</t>
  </si>
  <si>
    <t>12MIC X 1007MM 2.5 OD CC MET PET</t>
  </si>
  <si>
    <t>15MIC X 1115MM TPT BOPP BST</t>
  </si>
  <si>
    <t>18MIC X 1105MM TPT BOPP BST</t>
  </si>
  <si>
    <t>18MIC X 1114MM MET BOPP HSL</t>
  </si>
  <si>
    <t>12MIC X 540MM CT PET</t>
  </si>
  <si>
    <t>12MIC X 620MM CT PET</t>
  </si>
  <si>
    <t>10MIC X 735MM CC PET</t>
  </si>
  <si>
    <t>18MIC X 1105MM MET BOPP HSL</t>
  </si>
  <si>
    <t>85MIC X 580MM NATURAL PE (SHRINK FILM)</t>
  </si>
  <si>
    <t>110MIC X 660MM WHITE PE ( OIL PRINT )</t>
  </si>
  <si>
    <t>8MIC  X1175MM CC MET PET</t>
  </si>
  <si>
    <t>12MIC X 990MM 2.5 OD CC MET PET</t>
  </si>
  <si>
    <t>8MIC X 1175MM CC PET</t>
  </si>
  <si>
    <t>20MIC X 1215MM HS REV.PRINT BOPP (LS WITH CPP GRADE)-410000100444</t>
  </si>
  <si>
    <t>25MIC X 1145MM HS REV.PRINT BOPP (LS WITH CPP GRADE)-410000100496</t>
  </si>
  <si>
    <t>20MIC X 1190MM NATURAL PE (NF)</t>
  </si>
  <si>
    <t>35MIC X 865MM CLEAR CPP HSL</t>
  </si>
  <si>
    <t>40MIC X 575MM NATURAL PE(NF)</t>
  </si>
  <si>
    <t>18MIC X 1035MM TPT BOPP BST</t>
  </si>
  <si>
    <t>20MIC X 1185MM LAP SEAL TPT BOPP (LS20T0)</t>
  </si>
  <si>
    <t>15MIC X 1175MM MET BOPP NON HS M15SL4</t>
  </si>
  <si>
    <t>12MIC X 1086MM REV.PRINT LS BOPP</t>
  </si>
  <si>
    <t>32.5MIC X 1115MM NATURAL PE (NF-BINGO)</t>
  </si>
  <si>
    <t>35MIC X 895MM CLEAR CPP HSL</t>
  </si>
  <si>
    <t>12MIC X 795MM CC PET</t>
  </si>
  <si>
    <t>12MIC X 530MM 2.2 OD CC MET PET</t>
  </si>
  <si>
    <t>18MIC X 735MM MATT FINISH BOPP</t>
  </si>
  <si>
    <t>12MIC X 1224MM ALP PET</t>
  </si>
  <si>
    <t>12MIC X 405MM CT PET</t>
  </si>
  <si>
    <t>65MIC X 795MM NATURAL PE (2PLY SPICE)</t>
  </si>
  <si>
    <t>18MIC X 1115MM NATURAL PE (NF)</t>
  </si>
  <si>
    <t>25MIC X 1005MM MET BOPP HSL</t>
  </si>
  <si>
    <t>10MIC X 1071MM 2.5 OD CT MET PET</t>
  </si>
  <si>
    <t>10MIC X 910MM CC PET</t>
  </si>
  <si>
    <t>90MIC X 675MM NATURAL PE (LIQUID DISTEMPER)</t>
  </si>
  <si>
    <t>25MIC X 1005MM WHITE PE (TATA TEA)</t>
  </si>
  <si>
    <t>18MIC X 1191MM MET BOPP HSL</t>
  </si>
  <si>
    <t>30MIC X 795MM NATURAL PE (TATA TEA)</t>
  </si>
  <si>
    <t>8MIC X 975MM CT PET</t>
  </si>
  <si>
    <t>85MIC X 915MM NATURAL PE(2PLY SPICE)</t>
  </si>
  <si>
    <t>12MIC X1158MM 2.5OD CC MET PET</t>
  </si>
  <si>
    <t>18MIC X 870MM MATT FINISH BOPP</t>
  </si>
  <si>
    <t>20MIC X 815MM WHITE PE( TATA TEA) </t>
  </si>
  <si>
    <t>40MIC X 655MM NATURAL PE (NAMKEEN NF)</t>
  </si>
  <si>
    <t>10MIC X 1025MM 2.2 OD CC MET PET</t>
  </si>
  <si>
    <t>12MIC X 865MM CT MATT FINISH PET</t>
  </si>
  <si>
    <t>12MIC X 860MM CT MET PET</t>
  </si>
  <si>
    <t>12MIC X 1035MM CC PET</t>
  </si>
  <si>
    <t>12MIC X 1105MM CC PET</t>
  </si>
  <si>
    <t>85MIC X 1015MM NATURAL PE(2PLY SPICE)</t>
  </si>
  <si>
    <t>55MIC X 1010MM NATURAL PE (BAJAJ OIL LAM 2.4ML M.T.HIGH CLEAR)</t>
  </si>
  <si>
    <t>10MIC X 675MM 2.5 OD CC MET PET</t>
  </si>
  <si>
    <t>10MIC X 1050MM 2.2OD CC MET PET</t>
  </si>
  <si>
    <t>18MIC X 675MM MET BOPP HSL</t>
  </si>
  <si>
    <t>10MIC X 1215MM 2.2OD CC MET PET</t>
  </si>
  <si>
    <t>10MIC X 450MM CT MET PET</t>
  </si>
  <si>
    <t>125MIC X 915MM NATURAL PE(2PLY SPICE)</t>
  </si>
  <si>
    <t>12MIC X 1045MM CT PET</t>
  </si>
  <si>
    <t>90MIC X 685MM WHITE PE( SURFACE OIL PRINT) 6.5% NYLON AND MINIMUM 85% OPACITY</t>
  </si>
  <si>
    <t>38MIC X 631MM PEARLIZED LABEL GRADE BOPP(G02)</t>
  </si>
  <si>
    <t>12MIC X 1075MM TPT BOPP BST</t>
  </si>
  <si>
    <t>12MIC X 1109MM TPT BOPP BST</t>
  </si>
  <si>
    <t>20MIC X 1075MM MET CPP HSL</t>
  </si>
  <si>
    <t>10MIC X 1065MM 2.5OD CC MET PET</t>
  </si>
  <si>
    <t>10MIC X 1099MM 2.5OD CC MET PET</t>
  </si>
  <si>
    <t>65MIC X 915MM WHITE PE (SOYABARI-NF)</t>
  </si>
  <si>
    <t>37.5MIC X 1065MM NATURAL PE(NF BINGO)</t>
  </si>
  <si>
    <t>30MIC X 1035MM CLEAR CPP HSL</t>
  </si>
  <si>
    <t>8MIC X 1035MM CT PET </t>
  </si>
  <si>
    <t>10MIC X 1175MM 2.2 OD CC MET PET</t>
  </si>
  <si>
    <t>12MIC X 1185MM CC PET</t>
  </si>
  <si>
    <t>25MIC X 695MM WHITE PE(BREAD)</t>
  </si>
  <si>
    <t>15MIC X 830MM TPT BOPP BST</t>
  </si>
  <si>
    <t>95MIC X 655MM NATURAL PE (HIGH CLEAR STANDUP POUCH)</t>
  </si>
  <si>
    <t>22MIC X 1120MM WHITE PE (DETERGENT RS-5-JLL)</t>
  </si>
  <si>
    <t>8MIC X 650MM CC MET PET</t>
  </si>
  <si>
    <t>12MIC X 1000MM CT PET</t>
  </si>
  <si>
    <t>30MIC X 825MM WHITE PE (DEEP FREEZER)</t>
  </si>
  <si>
    <t>12MIC X 795MM CT PET</t>
  </si>
  <si>
    <t>18MIC X 995MM MET BOPP HSL</t>
  </si>
  <si>
    <t>10MIC X 935MM 2.2 OD CC MET PET</t>
  </si>
  <si>
    <t>10MIC X 1165MM 2.2 OD CC MET PET</t>
  </si>
  <si>
    <t>12MIC X 945MM CC PET</t>
  </si>
  <si>
    <t>21MIC X 895MM NATURAL PE (NF)</t>
  </si>
  <si>
    <t>8MIC X 1135MM CT PET</t>
  </si>
  <si>
    <t>21MIC X 1095MM NATURAL PE (NF)</t>
  </si>
  <si>
    <t>110MIC X 1125MM NATURAL PE (STAND UP POUCH)</t>
  </si>
  <si>
    <t>21MIC X 1035MM NATURAL PE(NF)</t>
  </si>
  <si>
    <t>55MIC X 675MM NATURAL PE(GROCERY)</t>
  </si>
  <si>
    <t>40MIC X 795MM WHITE PE (DETERGENT RS-10-JLL)</t>
  </si>
  <si>
    <t>25MIC X 735MM NATURAL PE (BREAD)</t>
  </si>
  <si>
    <t>30MIC X 855MM WHITE PE (BHUJIA)</t>
  </si>
  <si>
    <t>60MIC X 695MM WHITE PE (SOFT OIL FILM LAMINATION)</t>
  </si>
  <si>
    <t>55MIC X 745MM NATURAL PE(SPICE)</t>
  </si>
  <si>
    <t>30MIC X 675MM WHITE PE(TATA TEA)</t>
  </si>
  <si>
    <t>35MIC X 1003MM WHITE PE (ALL OUT FLASH GUARD)</t>
  </si>
  <si>
    <t>12MIC X 575MM CT PET</t>
  </si>
  <si>
    <t>21MIC X 1005MM NATURAL PE(NF)</t>
  </si>
  <si>
    <t xml:space="preserve">65MIC X 1000MM NATURAL PE (NF) </t>
  </si>
  <si>
    <t>80MIC X 795MM NATURAL PE (FERTILIZER)</t>
  </si>
  <si>
    <t>12MIC X 415MM CT MET PET</t>
  </si>
  <si>
    <t>21MIC X 1050MM TAPE GRADE BOPP</t>
  </si>
  <si>
    <t>12MIC X 1055MM 2.2 OD CC MET PET</t>
  </si>
  <si>
    <t>12MIC X 1095MM 2.2 OD CC MET PET</t>
  </si>
  <si>
    <t>10MIC X 1065MM CC PET</t>
  </si>
  <si>
    <t>10MIC X 1105MM CC PET</t>
  </si>
  <si>
    <t>12MIC X 815MM CC PET</t>
  </si>
  <si>
    <t>30MIC X 870MM NATURAL PE (NF)</t>
  </si>
  <si>
    <t>12MIC X 415MM CT PET</t>
  </si>
  <si>
    <t>12MIC X 490MM CT MET PET</t>
  </si>
  <si>
    <t>25MIC X 855MM NATURAL PE (NF)</t>
  </si>
  <si>
    <t>30MIC X 615MM NATURAL PE (TEA RS-5)</t>
  </si>
  <si>
    <t>20MIC X 1005MM WHITE PE( TATA TEA) </t>
  </si>
  <si>
    <t>100MIC X 675MM WHITE PE (AASHIRVAAD ATTA 5KG)</t>
  </si>
  <si>
    <t>12MIC X 1168MM CC PET</t>
  </si>
  <si>
    <t>22MIC X 710MM NATURAL PE (SALT POLY/REVERSE PRINT GRADE)</t>
  </si>
  <si>
    <t>85MIC X 565MM NATURAL PE (TEA)</t>
  </si>
  <si>
    <t>30MIC X 815MM NATURAL PE ( TEA )</t>
  </si>
  <si>
    <t>40MIC X 795MM NATURAL PE (PANEER)</t>
  </si>
  <si>
    <t>60MIC X 795MM NATURAL PE (MILK POWDER)</t>
  </si>
  <si>
    <t>LAST30CONS</t>
  </si>
  <si>
    <t>Total Stock</t>
  </si>
  <si>
    <t>LASTRECEIPTDATE</t>
  </si>
  <si>
    <t>LAST31CONS</t>
  </si>
  <si>
    <t>PENDINGINDENT</t>
  </si>
  <si>
    <t>95MIC X 1065MM NATURAL PE(HIGH CLEAR STANDUP POUCH)</t>
  </si>
  <si>
    <t>95MIC X 1135MM NATURAL PE(HIGH CLEAR STANDUP POUCH)</t>
  </si>
  <si>
    <t>OPENORDER_KG</t>
  </si>
  <si>
    <t>95MIC X 575MM NATURAL PE (NF)</t>
  </si>
  <si>
    <t>95MIC X 655MM NATURAL PE (NF)</t>
  </si>
  <si>
    <t>95MIC X 855MM NATURAL PE (HIGH CLEAR STANDUP POUCH)</t>
  </si>
  <si>
    <t>12MIC X 975MM CT PET</t>
  </si>
  <si>
    <t>20MIC X 795MM NATURAL PE (FLOW WRAP-DISPOVAN)</t>
  </si>
  <si>
    <t>30MIC X 765MM NATURAL PE (NOODLES)</t>
  </si>
  <si>
    <t>40MIC X 795MM NATURAL PE (TEA 100GM)</t>
  </si>
  <si>
    <t>55MIC X 778MM NATURAL PE (BAJAJ OIL LAM 2.4ML M.T.HIGH CLEAR)</t>
  </si>
  <si>
    <t>21MIC X 1175MM NATURAL PE(NF)</t>
  </si>
  <si>
    <t>75MIC X 900MM NATURAL PE (TEA)</t>
  </si>
  <si>
    <t>40MIC X 1175MM NATURAL PE (SEASONING+OIL)</t>
  </si>
  <si>
    <t>25MIC X 1215MM  NATURAL PE(CAVINKARE FLOW WRAP)</t>
  </si>
  <si>
    <t>85MIC X 905MM NATURAL PE (TEA 1KG)</t>
  </si>
  <si>
    <t>21MIC X 1200MM TAPE GRADE BOPP</t>
  </si>
  <si>
    <t>18MIC X 910MM MATT FINISH BOPP</t>
  </si>
  <si>
    <t>10MIC X 650MM CT MET PET</t>
  </si>
  <si>
    <t>12MIC X 710MM CT MET PET</t>
  </si>
  <si>
    <t>10MIC X 655MM CT PET</t>
  </si>
  <si>
    <t>32.5MIC X 705MM NATURAL PE ( TEA )</t>
  </si>
  <si>
    <t>25MIC X 775MM WHITE PE (BREAD)</t>
  </si>
  <si>
    <t>55MIC X 855MM WHITE PE(GROCERY)</t>
  </si>
  <si>
    <t>18MIC X 1127MM TPT BOPP BST</t>
  </si>
  <si>
    <t>25MIC X 1127MM OPQ WHITE CPP HSL</t>
  </si>
  <si>
    <t>18MIC X 1100MM NATURAL PE (NF BINGO)</t>
  </si>
  <si>
    <t>20MIC X 1100MM MET CPP HSL</t>
  </si>
  <si>
    <t>22MIC X 1065MM MET CPP HSL</t>
  </si>
  <si>
    <t>25MIC X 695MM MET CPP HSL</t>
  </si>
  <si>
    <t>25MIC X 990MM MET CPP HSL 95 SIT</t>
  </si>
  <si>
    <t>30MIC X 795MM MET CPP HSL (ISM)</t>
  </si>
  <si>
    <t>30MIC X 815MM MET CPP HSL(ISM)</t>
  </si>
  <si>
    <t>30MIC X 900MM MET CPP HSL</t>
  </si>
  <si>
    <t>30MIC X 1115MM MET CPP HSL</t>
  </si>
  <si>
    <t>20MIC X 1068MM WHITE OPQ CPP HSL</t>
  </si>
  <si>
    <t>20MIC X 1089MM WHITE OPQ CPP HSL</t>
  </si>
  <si>
    <t>25MIC X 850MM WHITE OPQ CPP HSL</t>
  </si>
  <si>
    <t>13MIC X 675MM HOLOGRAPHIC MET PET</t>
  </si>
  <si>
    <t>13MIC X 695MM HOLOGRAPHIC MET PET</t>
  </si>
  <si>
    <t>21MIC X 1115MM NATURAL PE (NF)</t>
  </si>
  <si>
    <t>18MIC X 1000MM NATURAL PE (NF)</t>
  </si>
  <si>
    <t>95MIC X 715MM NATURAL PE (SPICE)</t>
  </si>
  <si>
    <t>95MIC X 765MM NATURAL PE(GROCERY)</t>
  </si>
  <si>
    <t>38MIC X 600MM PEARLIZED LABEL GRADE BOPP(G02)</t>
  </si>
  <si>
    <t>30MIC X 915MM NATURAL PE (SEASONING)</t>
  </si>
  <si>
    <t>30MIC X 915MM NATURAL PE (SOYABARI NF)</t>
  </si>
  <si>
    <t>55MIC X 675MM WHITE PE (MAIDA)</t>
  </si>
  <si>
    <t>40MIC X 865MM NATURAL PE (SEASONING)</t>
  </si>
  <si>
    <t>55MIC X 775MM NATURAL PE ( SPICE )</t>
  </si>
  <si>
    <t>25MIC X 1075MM MHM2 MET CPP 2.2 OD,115-120 SIT</t>
  </si>
  <si>
    <t>55MIC X 915MM WHITE PE (SOYABARI NF)</t>
  </si>
  <si>
    <t>12MIC X 1125MM TPT BOPP BST</t>
  </si>
  <si>
    <t>40MIC X 775MM NATURAL PE(TEA)</t>
  </si>
  <si>
    <t>45MIC X 655MM NATURAL PE (TEA 250GM)</t>
  </si>
  <si>
    <t>30MIC X 1050MM NATURAL PE(NF)</t>
  </si>
  <si>
    <t>85MIC X 1110MM NATURAL PE (SHRINK PRINTED GRADE)</t>
  </si>
  <si>
    <t>15MIC X 1201MM TPT BOPP BST</t>
  </si>
  <si>
    <t>18MIC X 920MM MET BOPP HSL</t>
  </si>
  <si>
    <t>10MIC X 980MM ACRYLIC COATED MET PET(YPPL)</t>
  </si>
  <si>
    <t>37.5MIC X 1220MM WHITE PE (AASHIRVAD ATTA 1KG)</t>
  </si>
  <si>
    <t>15MIC X 815MM CC PET</t>
  </si>
  <si>
    <t>37.5MIC X 990MM NATURAL PE(NF BINGO)</t>
  </si>
  <si>
    <t>40MIC X 895MM NATURAL PE(SPICE)</t>
  </si>
  <si>
    <t>60MIC X 1220MM WHITE PE (AASHIRVAAD ATTA 1KG)</t>
  </si>
  <si>
    <t>70MIC X 675MM NATURAL PE(PVC PLUMBING &amp; FITTINGS)</t>
  </si>
  <si>
    <t>70MIC X 895MM NATURAL PE(PVC PLUMBING &amp; FITTINGS)</t>
  </si>
  <si>
    <t>30MIC X 1055MM WHITE PE (NOODLES)</t>
  </si>
  <si>
    <t>30MIC X 1165MM WHITE PE (NOODLES HIGH COF)</t>
  </si>
  <si>
    <t>40MIC X 975MM WHITE PE(CANDY OUTER)</t>
  </si>
  <si>
    <t>85MIC X 675MM NATURAL PEELABLE PE</t>
  </si>
  <si>
    <t>110MIC X 975MM NATURAL PE ( STANDUP ZIPPER POUCH )</t>
  </si>
  <si>
    <t>50MIC X 675MM WHITE PE (ITC ATTA 5KG)</t>
  </si>
  <si>
    <t>20MIC X 1165MM MET CPP HSL</t>
  </si>
  <si>
    <t>30MIC X 695MM NATURAL PE (NOODLES)</t>
  </si>
  <si>
    <t>55MIC X 795MM WHITE PE (BESAN)</t>
  </si>
  <si>
    <t>55MIC X 855MM WHITE PE ( ATTA 1KG )</t>
  </si>
  <si>
    <t>85MIC X 655MM NATURAL PEELABLE PE</t>
  </si>
  <si>
    <t>65MIC X 1035MM WHITE PE (ATTA)</t>
  </si>
  <si>
    <t>40MIC X 1115MM NATURAL PE(TEA)</t>
  </si>
  <si>
    <t>85MIC X 680MM NATURAL PE (TEA 500GM)</t>
  </si>
  <si>
    <t>85MIC X 1070MM NATURAL PE (SHRINK PRINTED GRADE)</t>
  </si>
  <si>
    <t>25MIC X 900MM WHITE PE (BREAD)</t>
  </si>
  <si>
    <t>80MIC X 765MM WHITE PE( TATA TEA)</t>
  </si>
  <si>
    <t>95MIC X 815MM WHITE PE ( ATTA 10 KG )</t>
  </si>
  <si>
    <t>10MIC X 1165MM CT PET</t>
  </si>
  <si>
    <t>22MIC X 890MM NATURAL PE (SALT POLY/REVERSE PRINT GRADE)</t>
  </si>
  <si>
    <t>30MIC X 735MM NATURAL PE(TATA TEA)</t>
  </si>
  <si>
    <t>30MIC X 885MM  NATURAL PE (SALT POLY/SELANT GRADE)</t>
  </si>
  <si>
    <t>30MIC X 1005MM NATURAL PE(TATA TEA)</t>
  </si>
  <si>
    <t>40MIC X 900MM WHITE PE (TCPL-SODA 100GM)</t>
  </si>
  <si>
    <t>55MIC X 745MM WHITE PE (MAIDA)</t>
  </si>
  <si>
    <t>60MIC X 675MM WHITE PE (SOYABARI NF)</t>
  </si>
  <si>
    <t>12MIC X 580MM CT PET</t>
  </si>
  <si>
    <t>40MIC X 775MM NATURAL PE (SPICE)</t>
  </si>
  <si>
    <t>25MIC X 935MM WHITE PE( BREAD)</t>
  </si>
  <si>
    <t>95MIC X 1215MM WHITE PE (GENERAL)</t>
  </si>
  <si>
    <t>110MIC X 985MM WHITE PE ( OIL PRINT )</t>
  </si>
  <si>
    <t>B2603-208</t>
  </si>
  <si>
    <t>62.5MIC X 1115MM NATURAL PE(HIGH CLEAR HOT TRACK)</t>
  </si>
  <si>
    <t>65MIC X 1065MM WHITE PE (ATTA 2KG)</t>
  </si>
  <si>
    <t>Job Code</t>
  </si>
  <si>
    <t>Net Qty</t>
  </si>
  <si>
    <t>40MIC X 675MM NATURAL PE (TEA)</t>
  </si>
  <si>
    <t>55MIC X 675MM NATURAL PE(TEA)</t>
  </si>
  <si>
    <t>105MIC X 985MM WHITE PE (SURFACE OIL PRINT) 6.5% NYLON AND MINIMUM 85% OPACITY</t>
  </si>
  <si>
    <t>38MIC X 675MM PEARLIZED LABEL GRADE BOPP(G02)</t>
  </si>
  <si>
    <t>10MIC X 870MM CT PET</t>
  </si>
  <si>
    <t>21MIC X 945MM NATURAL PE (NF)</t>
  </si>
  <si>
    <t>25MIC X 1135MM NATURAL PE (NF GRADE)</t>
  </si>
  <si>
    <t>40MIC X 655MM NATURAL PE (SPICE)</t>
  </si>
  <si>
    <t>12MIC X 455MM CT PET</t>
  </si>
  <si>
    <t>20MIC X 975MM NATURAL PE (CANDY OUTER)</t>
  </si>
  <si>
    <t>21MIC X 975MM NATURAL PE (NF)</t>
  </si>
  <si>
    <t>30MIC X 820MM NATURAL PE(TATA TEA)</t>
  </si>
  <si>
    <t>35MIC X 1215MM NATURAL PE(NF)</t>
  </si>
  <si>
    <t>53MIC X 625MM NATURAL PE(TATA BUNDLING)</t>
  </si>
  <si>
    <t>21MIC X 1015MM NATURAL PE (NF)</t>
  </si>
  <si>
    <t>40MIC X 1020MM NATURAL PE(BAJAJ FLOW WRAP)</t>
  </si>
  <si>
    <t>21MIC X 990MM NATURAL PE(NF)</t>
  </si>
  <si>
    <t>30MIC X 870MM NATURAL PE(TATA TEA)</t>
  </si>
  <si>
    <t>40MIC X 655MM NATURAL PE (TEA)</t>
  </si>
  <si>
    <t>45MIC X 975MM NATURAL PE ( TEA 250GM)</t>
  </si>
  <si>
    <t>53MIC X 830MM NATURAL PE (TATA BUNDLING)</t>
  </si>
  <si>
    <t>55MIC X 1010MM NATURAL PE (GROCERY)</t>
  </si>
  <si>
    <t>22MIC X 1045MM WHITE PE YIPPEE NOODLES [70% OPACITY]</t>
  </si>
  <si>
    <t>PE(W)50MICX1000MM(ATTA 2KG)</t>
  </si>
  <si>
    <t>B2604-40</t>
  </si>
  <si>
    <t>18MIC X 810MM MATT FINISH BOPP                 </t>
  </si>
  <si>
    <t>40MIC X 975MM NATURAL PE ( TEA )</t>
  </si>
  <si>
    <t>40MIC X 1215MM NATURAL PE(TEA)</t>
  </si>
  <si>
    <t>55MIC X 655MM NATURAL PE ( GROCERY )</t>
  </si>
  <si>
    <t>Vrdate</t>
  </si>
  <si>
    <t>Work Order</t>
  </si>
  <si>
    <t>40MIC X 655MM NATURAL PE(NF)</t>
  </si>
  <si>
    <t>30MIC X 1100MM WHITE PE ( BHUJIA)</t>
  </si>
  <si>
    <t>50MIC X 805MM WHITE PE (DETERGENT 500GM-JLL)</t>
  </si>
  <si>
    <t>18MIC X 1245MM NATURAL PE(NF BINGO)</t>
  </si>
  <si>
    <t>40MIC X 975MM NATURAL PE ( SPICE )</t>
  </si>
  <si>
    <t>50MIC X 655MM NATURAL PE(TATA TEA)</t>
  </si>
  <si>
    <t>20MIC X 975MM WHITE PE(TATA TEA)</t>
  </si>
  <si>
    <t>20MIC X 815MM NATURAL PE(FLOW WRAP- DISPOVAN)</t>
  </si>
  <si>
    <t>50MIC X 1165MM NATURAL PE (SEASONING+OIL)</t>
  </si>
  <si>
    <t>60MIC X 855MM NATURAL PE (HIGH CLEAR)</t>
  </si>
  <si>
    <t>110MIC X 675MM WHITE PE (AAU VITAMIN)</t>
  </si>
  <si>
    <t>B2604-57</t>
  </si>
  <si>
    <t>PE(W)65MICX855MM( SOYABARI NF)</t>
  </si>
  <si>
    <t>15MIC X 1095MM TPT BOPP BST</t>
  </si>
  <si>
    <t>18MIC X 907MM MET BOPP HSL</t>
  </si>
  <si>
    <t>18MIC X 1095MM MET BOPP HSL</t>
  </si>
  <si>
    <t xml:space="preserve">12MIC X 955MM CC PET </t>
  </si>
  <si>
    <t>25MIC X 905MM NATURAL PE (TEA)</t>
  </si>
  <si>
    <t>21MIC X 1215MM NATURAL PE (NF)</t>
  </si>
  <si>
    <t>30MIC X 695MM NATURAL PE (NF)</t>
  </si>
  <si>
    <t>20MIC X 705MM NATURAL PE(BREAD)</t>
  </si>
  <si>
    <t>40MIC X 915MM NATURAL PE ( SPICE )</t>
  </si>
  <si>
    <t>60MIC X 655MM NATURAL PE (TEA 250GM)</t>
  </si>
  <si>
    <t>60MIC X 795MM WHITE PE (OIL SOFT POLY)</t>
  </si>
  <si>
    <t>25MIC X 580MM WHITE PE( NOODLES 65% OPACITY)</t>
  </si>
  <si>
    <t>30MIC X 615MM NATURAL PE(NF)</t>
  </si>
  <si>
    <t>30MIC X 855MM NATURAL PE (SEASONING+OIL)</t>
  </si>
  <si>
    <t>25MIC X 1090MM WHITE PE (NOOLDES)</t>
  </si>
  <si>
    <t>95MIC X 685MM WHITE PE ( OIL SURFACE )</t>
  </si>
  <si>
    <t>B2604-69</t>
  </si>
  <si>
    <t>B2604-74</t>
  </si>
  <si>
    <t>PE(W)40MICX975MM(CANDY OUTER)</t>
  </si>
  <si>
    <t>B2604-105</t>
  </si>
  <si>
    <t>B2604-101</t>
  </si>
  <si>
    <t>B2604-102</t>
  </si>
  <si>
    <t>B2604-104</t>
  </si>
  <si>
    <t>20MIC X 1095MM NATURAL PE (NF)</t>
  </si>
  <si>
    <t>25MIC X 795MM NATURAL PE (NOODLES)</t>
  </si>
  <si>
    <t>40MIC X 760MM NATURAL PE(NF)</t>
  </si>
  <si>
    <t>65MIC X 915MM NATURAL PE (2PLY SPICE)</t>
  </si>
  <si>
    <t>45MIC X 1035MM NATURAL PE (TEA 250GM)</t>
  </si>
  <si>
    <t>55MIC X 1155MM NATURAL PE (BAJAJ OIL LAM 2.4ML M.T.HIGH CLEAR)</t>
  </si>
  <si>
    <t>30MIC X 795MM WHITE PE (NOODLES)</t>
  </si>
  <si>
    <t>12MIC X 850MM CT MET PET</t>
  </si>
  <si>
    <t>10MIC X 815MM CT PET</t>
  </si>
  <si>
    <t>30MIC X 760MM NATURAL PE ( OUTER)</t>
  </si>
  <si>
    <t>40MIC X 955MM  NATURAL PE(TOAST)</t>
  </si>
  <si>
    <t>85MIC X 695MM NATURAL PE (TEA)</t>
  </si>
  <si>
    <t>125MIC X 815MM NATURAL PE(2PLY SPICE)</t>
  </si>
  <si>
    <t>30MIC X 975MM NATURAL PE (NF)</t>
  </si>
  <si>
    <t>25MIC X 895MM NATURAL PE (NF)</t>
  </si>
  <si>
    <t>25MIC X 1115MM NATURAL PE (NF)</t>
  </si>
  <si>
    <t>40MIC X 915MM NATURAL PE( BREAD)</t>
  </si>
  <si>
    <t>55MIC X 975MM NATURAL PE(NF)</t>
  </si>
  <si>
    <t>65MIC X 935MM NATURAL PE (2PLY SPICE)</t>
  </si>
  <si>
    <t>60MIC X 865MM WHITE PE (DETERGENT 1KG-JLL)</t>
  </si>
  <si>
    <t>85MIC X 680MM WHITE PE ( ATTA 5 KG )</t>
  </si>
  <si>
    <t>B2604-116</t>
  </si>
  <si>
    <t>B2604-117</t>
  </si>
  <si>
    <t>75MIC X 970MM NATURAL PE (SHRINK PRINTED GRADE 100% VIRGIN)</t>
  </si>
  <si>
    <t>65MIC X 985MM WHITE PE (DAIRY)</t>
  </si>
  <si>
    <t>21MIC X 855MM NATURAL PE (NF)</t>
  </si>
  <si>
    <t>25MIC X 1015MM NATURAL PE (NF)</t>
  </si>
  <si>
    <t>25MIC X 1115MM  NATURAL PE(CAVINKARE FLOW WRAP)</t>
  </si>
  <si>
    <t>30MIC X 735MM NATURAL PE (SEASONING+OIL)</t>
  </si>
  <si>
    <t>45MIC X 460MM NATURAL PE (TEA 1KG)</t>
  </si>
  <si>
    <t>60MIC X 1150MM NATURAL PE(SHRINK JUICE-K.D JAIN)</t>
  </si>
  <si>
    <t>65MIC X 890MM NATURAL PE(SHRINK)</t>
  </si>
  <si>
    <t>65MIC X 1210MM NATURAL PE(SHRINK)</t>
  </si>
  <si>
    <t>85MIC X 675MM WHITE PEELABLE PE</t>
  </si>
  <si>
    <t>95MIC X 835MM WHITE PE (ATTA 10KG)</t>
  </si>
  <si>
    <t>PE(N)53MICX970MM(TATA BUNDLING)</t>
  </si>
  <si>
    <t>PE(N)53MICX625MM(TATA BUNDLING)</t>
  </si>
  <si>
    <t>FILM STOCK 30TH APRIL 26</t>
  </si>
  <si>
    <t>18MIC X 1071MM NATURAL PE (NF PEPSICO)</t>
  </si>
  <si>
    <t>35MIC X 655MM NATURAL PE (TEA)</t>
  </si>
  <si>
    <t>53MIC X 970MM NATURAL PE (TATA BUNDLING)</t>
  </si>
  <si>
    <t>60MIC X 985MM WHITE PE (MILK)</t>
  </si>
  <si>
    <t>90MIC X 865MM WHITE PE (DETERGENT 1KG-JLL)</t>
  </si>
  <si>
    <t>PE(W)30MICX795MM(NOODLES)</t>
  </si>
  <si>
    <t>PE(W)25MICX1090MM(NOODLES)</t>
  </si>
  <si>
    <t>PE(N)90MICX1130MM(SHRINK PRINTED)</t>
  </si>
  <si>
    <t>PE(N)53MICX685MM(TATA BUNDLING)</t>
  </si>
  <si>
    <t>EXP.TAT</t>
  </si>
  <si>
    <t>SO-1</t>
  </si>
  <si>
    <t>SO-2</t>
  </si>
  <si>
    <t>SO-3</t>
  </si>
  <si>
    <t>SO-4</t>
  </si>
  <si>
    <t>SO-5</t>
  </si>
  <si>
    <t>SO-6</t>
  </si>
  <si>
    <t>C-1</t>
  </si>
  <si>
    <t>C-2</t>
  </si>
  <si>
    <t>C-3</t>
  </si>
  <si>
    <t>C-4</t>
  </si>
  <si>
    <t>C-5</t>
  </si>
  <si>
    <t>C-6</t>
  </si>
  <si>
    <t>JOB NAME-1</t>
  </si>
  <si>
    <t>JOB NAME-2</t>
  </si>
  <si>
    <t>JOB NAME-3</t>
  </si>
  <si>
    <t>JOB NAME-4</t>
  </si>
  <si>
    <t>JOB NAME-5</t>
  </si>
  <si>
    <t>JOB NAME-6</t>
  </si>
  <si>
    <t>PARTY-1</t>
  </si>
  <si>
    <t>PARTY-2</t>
  </si>
  <si>
    <t>PARTY-3</t>
  </si>
  <si>
    <t>PARTY-4</t>
  </si>
  <si>
    <t>PARTY-5</t>
  </si>
  <si>
    <t>PARTY-6</t>
  </si>
  <si>
    <t>REPEAT</t>
  </si>
  <si>
    <t>SALES PERSON NAME</t>
  </si>
  <si>
    <t>LAMINATE ROLL 4PLY</t>
  </si>
  <si>
    <t>LAMINATE ROLL 3PLY</t>
  </si>
  <si>
    <t>POLY ROLL 1PLY</t>
  </si>
  <si>
    <t>LAMINATE ROLL 2PLY</t>
  </si>
  <si>
    <t>1ST</t>
  </si>
  <si>
    <t>2ND PASS LAM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</si>
</sst>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43" formatCode="_ * #,##0.00_ ;_ * \-#,##0.00_ ;_ * &quot;-&quot;??_ ;_ @_ "/>
    <numFmt numFmtId="164" formatCode="0.0"/>
    <numFmt numFmtId="165" formatCode="[$-409]d\-mmm\-yy;@"/>
    <numFmt numFmtId="166" formatCode="0.000"/>
    <numFmt numFmtId="167" formatCode="dd/mmm\ \ hh:mm\ AM/PM"/>
    <numFmt numFmtId="168" formatCode="[$-409]d\-mmm;@"/>
    <numFmt numFmtId="169" formatCode="[$-409]d/mmm/yy;@"/>
    <numFmt numFmtId="170" formatCode="_ * #,##0_ ;_ * \-#,##0_ ;_ * &quot;-&quot;??_ ;_ @_ "/>
    <numFmt numFmtId="171" formatCode="_ * #,##0.0_ ;_ * \-#,##0.0_ ;_ * &quot;-&quot;??_ ;_ @_ "/>
    <numFmt numFmtId="172" formatCode="[$-409]d/mmm;@"/>
    <numFmt numFmtId="173" formatCode="_(* #,##0_);_(* \(#,##0\);_(* &quot;-&quot;??_);_(@_)"/>
    <numFmt numFmtId="174" formatCode="_ * #,##0.000_ ;_ * \-#,##0.000_ ;_ * &quot;-&quot;???_ ;_ @_ "/>
    <numFmt numFmtId="175" formatCode="_ * #,##0_ ;_ * \-#,##0_ ;_ * &quot;-&quot;???_ ;_ @_ "/>
    <numFmt numFmtId="176" formatCode="_(* #,##0.0_);_(* \(#,##0.0\);_(* &quot;-&quot;??_);_(@_)"/>
    <numFmt numFmtId="177" formatCode="_ * #,##0_ ;_ * \-#,##0_ ;_ * &quot;-&quot;?_ ;_ @_ "/>
    <numFmt numFmtId="178" formatCode="dd/mmm/yy\ h:mm\ AM/PM"/>
    <numFmt numFmtId="179" formatCode="[$-409]dd\-mmm\-yy;@"/>
    <numFmt numFmtId="180" formatCode="[$-409]mmmm\-yy;@"/>
    <numFmt numFmtId="181" formatCode="[$-409]dd/mmm/yy;@"/>
    <numFmt numFmtId="182" formatCode="[$-F800]dddd\,\ mmmm\ dd\,\ yyyy"/>
    <numFmt numFmtId="183" formatCode="dd\-mmm\-yyyy"/>
  </numFmts>
  <fonts count="1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name val="Arial"/>
      <family val="2"/>
    </font>
    <font>
      <b/>
      <sz val="10"/>
      <name val="Calibri"/>
      <family val="2"/>
    </font>
    <font>
      <b/>
      <u/>
      <sz val="10"/>
      <name val="Arial"/>
      <family val="2"/>
    </font>
    <font>
      <b/>
      <sz val="11"/>
      <color indexed="56"/>
      <name val="Calibri"/>
      <family val="2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Arial Black"/>
      <family val="2"/>
    </font>
    <font>
      <sz val="11"/>
      <color theme="1"/>
      <name val="Calibri"/>
      <family val="2"/>
    </font>
    <font>
      <b/>
      <u/>
      <sz val="8"/>
      <name val="Calibri"/>
      <family val="2"/>
      <scheme val="minor"/>
    </font>
    <font>
      <sz val="10"/>
      <color rgb="FFFF0000"/>
      <name val="Calibri"/>
      <family val="2"/>
    </font>
    <font>
      <b/>
      <sz val="9"/>
      <color theme="1"/>
      <name val="Calibri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0"/>
      <color theme="0"/>
      <name val="Calibri"/>
      <family val="2"/>
    </font>
    <font>
      <b/>
      <sz val="10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</font>
    <font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name val="Calibri"/>
      <family val="2"/>
    </font>
    <font>
      <b/>
      <sz val="10"/>
      <color theme="1" tint="4.9989318521683403E-2"/>
      <name val="Calibri"/>
      <family val="2"/>
      <scheme val="minor"/>
    </font>
    <font>
      <b/>
      <sz val="12"/>
      <name val="Arial"/>
      <family val="2"/>
    </font>
    <font>
      <b/>
      <sz val="9"/>
      <color rgb="FFFF000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206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b/>
      <sz val="12"/>
      <name val="Calibri"/>
      <family val="2"/>
    </font>
    <font>
      <b/>
      <u/>
      <sz val="8"/>
      <color rgb="FF0070C0"/>
      <name val="Arial Unicode MS"/>
      <family val="2"/>
    </font>
    <font>
      <b/>
      <u/>
      <sz val="14"/>
      <color rgb="FFFF0000"/>
      <name val="Arial Unicode MS"/>
      <family val="2"/>
    </font>
    <font>
      <b/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name val="Calibri"/>
      <family val="2"/>
    </font>
    <font>
      <b/>
      <u/>
      <sz val="12"/>
      <name val="Calibri"/>
      <family val="2"/>
      <scheme val="minor"/>
    </font>
    <font>
      <b/>
      <sz val="14"/>
      <name val="Arial"/>
      <family val="2"/>
    </font>
    <font>
      <b/>
      <u/>
      <sz val="9"/>
      <color rgb="FF0070C0"/>
      <name val="Calibri"/>
      <family val="2"/>
      <scheme val="minor"/>
    </font>
    <font>
      <sz val="12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12"/>
      <color rgb="FF002060"/>
      <name val="Calibri"/>
      <family val="2"/>
    </font>
    <font>
      <sz val="11"/>
      <color rgb="FF002060"/>
      <name val="Calibri"/>
      <family val="2"/>
    </font>
    <font>
      <sz val="10"/>
      <color rgb="FF002060"/>
      <name val="Calibri"/>
      <family val="2"/>
    </font>
    <font>
      <sz val="12"/>
      <color rgb="FF002060"/>
      <name val="Calibri"/>
      <family val="2"/>
    </font>
    <font>
      <sz val="16"/>
      <color rgb="FF002060"/>
      <name val="Britannic Bold"/>
      <family val="2"/>
    </font>
    <font>
      <b/>
      <sz val="10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6"/>
      <name val="Arial"/>
      <family val="2"/>
    </font>
    <font>
      <b/>
      <sz val="10"/>
      <color indexed="8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8"/>
      <color rgb="FF00206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sz val="9"/>
      <color rgb="FFFF0000"/>
      <name val="Calibri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6"/>
      <color rgb="FF0070C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</font>
    <font>
      <b/>
      <u/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0000"/>
      <name val="Aptos"/>
      <family val="2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Inherit"/>
    </font>
    <font>
      <sz val="11"/>
      <color rgb="FF9C5700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1" tint="4.9989318521683403E-2"/>
      <name val="Calibri"/>
      <family val="2"/>
    </font>
    <font>
      <sz val="14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1" tint="4.9989318521683403E-2"/>
      <name val="Calibri"/>
      <family val="2"/>
    </font>
    <font>
      <sz val="8"/>
      <name val="Arial"/>
    </font>
  </fonts>
  <fills count="7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D6ECF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510">
    <xf numFmtId="0" fontId="0" fillId="0" borderId="0"/>
    <xf numFmtId="0" fontId="56" fillId="0" borderId="0" applyNumberFormat="0" applyFill="0" applyBorder="0" applyAlignment="0" applyProtection="0"/>
    <xf numFmtId="0" fontId="72" fillId="5" borderId="0" applyNumberFormat="0" applyBorder="0" applyAlignment="0" applyProtection="0"/>
    <xf numFmtId="0" fontId="72" fillId="6" borderId="0" applyNumberFormat="0" applyBorder="0" applyAlignment="0" applyProtection="0"/>
    <xf numFmtId="0" fontId="72" fillId="7" borderId="0" applyNumberFormat="0" applyBorder="0" applyAlignment="0" applyProtection="0"/>
    <xf numFmtId="0" fontId="72" fillId="8" borderId="0" applyNumberFormat="0" applyBorder="0" applyAlignment="0" applyProtection="0"/>
    <xf numFmtId="0" fontId="72" fillId="9" borderId="0" applyNumberFormat="0" applyBorder="0" applyAlignment="0" applyProtection="0"/>
    <xf numFmtId="0" fontId="72" fillId="10" borderId="0" applyNumberFormat="0" applyBorder="0" applyAlignment="0" applyProtection="0"/>
    <xf numFmtId="0" fontId="72" fillId="11" borderId="0" applyNumberFormat="0" applyBorder="0" applyAlignment="0" applyProtection="0"/>
    <xf numFmtId="0" fontId="72" fillId="12" borderId="0" applyNumberFormat="0" applyBorder="0" applyAlignment="0" applyProtection="0"/>
    <xf numFmtId="0" fontId="72" fillId="13" borderId="0" applyNumberFormat="0" applyBorder="0" applyAlignment="0" applyProtection="0"/>
    <xf numFmtId="0" fontId="72" fillId="14" borderId="0" applyNumberFormat="0" applyBorder="0" applyAlignment="0" applyProtection="0"/>
    <xf numFmtId="0" fontId="72" fillId="15" borderId="0" applyNumberFormat="0" applyBorder="0" applyAlignment="0" applyProtection="0"/>
    <xf numFmtId="0" fontId="72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4" fillId="29" borderId="0" applyNumberFormat="0" applyBorder="0" applyAlignment="0" applyProtection="0"/>
    <xf numFmtId="0" fontId="75" fillId="30" borderId="29" applyNumberFormat="0" applyAlignment="0" applyProtection="0"/>
    <xf numFmtId="0" fontId="76" fillId="31" borderId="30" applyNumberFormat="0" applyAlignment="0" applyProtection="0"/>
    <xf numFmtId="41" fontId="69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165" fontId="68" fillId="0" borderId="0" applyFont="0" applyFill="0" applyBorder="0" applyAlignment="0" applyProtection="0"/>
    <xf numFmtId="43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62" fillId="0" borderId="0"/>
    <xf numFmtId="0" fontId="62" fillId="0" borderId="0"/>
    <xf numFmtId="0" fontId="77" fillId="0" borderId="0" applyNumberFormat="0" applyFill="0" applyBorder="0" applyAlignment="0" applyProtection="0"/>
    <xf numFmtId="0" fontId="78" fillId="32" borderId="0" applyNumberFormat="0" applyBorder="0" applyAlignment="0" applyProtection="0"/>
    <xf numFmtId="0" fontId="79" fillId="0" borderId="31" applyNumberFormat="0" applyFill="0" applyAlignment="0" applyProtection="0"/>
    <xf numFmtId="0" fontId="80" fillId="0" borderId="32" applyNumberFormat="0" applyFill="0" applyAlignment="0" applyProtection="0"/>
    <xf numFmtId="0" fontId="81" fillId="0" borderId="33" applyNumberFormat="0" applyFill="0" applyAlignment="0" applyProtection="0"/>
    <xf numFmtId="0" fontId="67" fillId="0" borderId="1" applyNumberFormat="0" applyFill="0" applyAlignment="0" applyProtection="0"/>
    <xf numFmtId="0" fontId="81" fillId="0" borderId="0" applyNumberFormat="0" applyFill="0" applyBorder="0" applyAlignment="0" applyProtection="0"/>
    <xf numFmtId="0" fontId="82" fillId="33" borderId="29" applyNumberFormat="0" applyAlignment="0" applyProtection="0"/>
    <xf numFmtId="0" fontId="83" fillId="0" borderId="34" applyNumberFormat="0" applyFill="0" applyAlignment="0" applyProtection="0"/>
    <xf numFmtId="0" fontId="84" fillId="34" borderId="0" applyNumberFormat="0" applyBorder="0" applyAlignment="0" applyProtection="0"/>
    <xf numFmtId="0" fontId="71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2" fillId="0" borderId="0"/>
    <xf numFmtId="0" fontId="56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72" fillId="0" borderId="0"/>
    <xf numFmtId="0" fontId="72" fillId="0" borderId="0"/>
    <xf numFmtId="0" fontId="62" fillId="0" borderId="0"/>
    <xf numFmtId="0" fontId="62" fillId="0" borderId="0"/>
    <xf numFmtId="0" fontId="62" fillId="0" borderId="0"/>
    <xf numFmtId="0" fontId="72" fillId="0" borderId="0"/>
    <xf numFmtId="0" fontId="62" fillId="0" borderId="0"/>
    <xf numFmtId="0" fontId="62" fillId="0" borderId="0"/>
    <xf numFmtId="0" fontId="56" fillId="0" borderId="0"/>
    <xf numFmtId="0" fontId="62" fillId="0" borderId="0"/>
    <xf numFmtId="0" fontId="62" fillId="0" borderId="0"/>
    <xf numFmtId="0" fontId="72" fillId="0" borderId="0"/>
    <xf numFmtId="0" fontId="72" fillId="0" borderId="0"/>
    <xf numFmtId="0" fontId="56" fillId="0" borderId="0" applyNumberFormat="0" applyFill="0" applyBorder="0" applyAlignment="0" applyProtection="0"/>
    <xf numFmtId="0" fontId="56" fillId="0" borderId="0"/>
    <xf numFmtId="0" fontId="72" fillId="0" borderId="0"/>
    <xf numFmtId="0" fontId="72" fillId="0" borderId="0"/>
    <xf numFmtId="0" fontId="72" fillId="35" borderId="35" applyNumberFormat="0" applyFont="0" applyAlignment="0" applyProtection="0"/>
    <xf numFmtId="0" fontId="85" fillId="30" borderId="36" applyNumberFormat="0" applyAlignment="0" applyProtection="0"/>
    <xf numFmtId="9" fontId="72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37" applyNumberFormat="0" applyFill="0" applyAlignment="0" applyProtection="0"/>
    <xf numFmtId="0" fontId="88" fillId="0" borderId="0" applyNumberFormat="0" applyFill="0" applyBorder="0" applyAlignment="0" applyProtection="0"/>
    <xf numFmtId="0" fontId="52" fillId="0" borderId="0"/>
    <xf numFmtId="0" fontId="86" fillId="0" borderId="0" applyNumberFormat="0" applyFill="0" applyBorder="0" applyAlignment="0" applyProtection="0"/>
    <xf numFmtId="0" fontId="51" fillId="0" borderId="0"/>
    <xf numFmtId="0" fontId="51" fillId="35" borderId="35" applyNumberFormat="0" applyFont="0" applyAlignment="0" applyProtection="0"/>
    <xf numFmtId="0" fontId="51" fillId="5" borderId="0" applyNumberFormat="0" applyBorder="0" applyAlignment="0" applyProtection="0"/>
    <xf numFmtId="0" fontId="51" fillId="11" borderId="0" applyNumberFormat="0" applyBorder="0" applyAlignment="0" applyProtection="0"/>
    <xf numFmtId="0" fontId="51" fillId="6" borderId="0" applyNumberFormat="0" applyBorder="0" applyAlignment="0" applyProtection="0"/>
    <xf numFmtId="0" fontId="51" fillId="12" borderId="0" applyNumberFormat="0" applyBorder="0" applyAlignment="0" applyProtection="0"/>
    <xf numFmtId="0" fontId="51" fillId="7" borderId="0" applyNumberFormat="0" applyBorder="0" applyAlignment="0" applyProtection="0"/>
    <xf numFmtId="0" fontId="51" fillId="13" borderId="0" applyNumberFormat="0" applyBorder="0" applyAlignment="0" applyProtection="0"/>
    <xf numFmtId="0" fontId="51" fillId="8" borderId="0" applyNumberFormat="0" applyBorder="0" applyAlignment="0" applyProtection="0"/>
    <xf numFmtId="0" fontId="51" fillId="14" borderId="0" applyNumberFormat="0" applyBorder="0" applyAlignment="0" applyProtection="0"/>
    <xf numFmtId="0" fontId="51" fillId="9" borderId="0" applyNumberFormat="0" applyBorder="0" applyAlignment="0" applyProtection="0"/>
    <xf numFmtId="0" fontId="51" fillId="15" borderId="0" applyNumberFormat="0" applyBorder="0" applyAlignment="0" applyProtection="0"/>
    <xf numFmtId="0" fontId="51" fillId="10" borderId="0" applyNumberFormat="0" applyBorder="0" applyAlignment="0" applyProtection="0"/>
    <xf numFmtId="0" fontId="51" fillId="16" borderId="0" applyNumberFormat="0" applyBorder="0" applyAlignment="0" applyProtection="0"/>
    <xf numFmtId="0" fontId="50" fillId="0" borderId="0"/>
    <xf numFmtId="0" fontId="50" fillId="35" borderId="35" applyNumberFormat="0" applyFont="0" applyAlignment="0" applyProtection="0"/>
    <xf numFmtId="0" fontId="50" fillId="5" borderId="0" applyNumberFormat="0" applyBorder="0" applyAlignment="0" applyProtection="0"/>
    <xf numFmtId="0" fontId="50" fillId="11" borderId="0" applyNumberFormat="0" applyBorder="0" applyAlignment="0" applyProtection="0"/>
    <xf numFmtId="0" fontId="50" fillId="6" borderId="0" applyNumberFormat="0" applyBorder="0" applyAlignment="0" applyProtection="0"/>
    <xf numFmtId="0" fontId="50" fillId="12" borderId="0" applyNumberFormat="0" applyBorder="0" applyAlignment="0" applyProtection="0"/>
    <xf numFmtId="0" fontId="50" fillId="7" borderId="0" applyNumberFormat="0" applyBorder="0" applyAlignment="0" applyProtection="0"/>
    <xf numFmtId="0" fontId="50" fillId="13" borderId="0" applyNumberFormat="0" applyBorder="0" applyAlignment="0" applyProtection="0"/>
    <xf numFmtId="0" fontId="50" fillId="8" borderId="0" applyNumberFormat="0" applyBorder="0" applyAlignment="0" applyProtection="0"/>
    <xf numFmtId="0" fontId="50" fillId="14" borderId="0" applyNumberFormat="0" applyBorder="0" applyAlignment="0" applyProtection="0"/>
    <xf numFmtId="0" fontId="50" fillId="9" borderId="0" applyNumberFormat="0" applyBorder="0" applyAlignment="0" applyProtection="0"/>
    <xf numFmtId="0" fontId="50" fillId="15" borderId="0" applyNumberFormat="0" applyBorder="0" applyAlignment="0" applyProtection="0"/>
    <xf numFmtId="0" fontId="50" fillId="10" borderId="0" applyNumberFormat="0" applyBorder="0" applyAlignment="0" applyProtection="0"/>
    <xf numFmtId="0" fontId="50" fillId="16" borderId="0" applyNumberFormat="0" applyBorder="0" applyAlignment="0" applyProtection="0"/>
    <xf numFmtId="0" fontId="49" fillId="0" borderId="0"/>
    <xf numFmtId="0" fontId="49" fillId="35" borderId="35" applyNumberFormat="0" applyFont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10" borderId="0" applyNumberFormat="0" applyBorder="0" applyAlignment="0" applyProtection="0"/>
    <xf numFmtId="0" fontId="49" fillId="16" borderId="0" applyNumberFormat="0" applyBorder="0" applyAlignment="0" applyProtection="0"/>
    <xf numFmtId="0" fontId="48" fillId="0" borderId="0"/>
    <xf numFmtId="0" fontId="48" fillId="35" borderId="35" applyNumberFormat="0" applyFont="0" applyAlignment="0" applyProtection="0"/>
    <xf numFmtId="0" fontId="48" fillId="5" borderId="0" applyNumberFormat="0" applyBorder="0" applyAlignment="0" applyProtection="0"/>
    <xf numFmtId="0" fontId="48" fillId="11" borderId="0" applyNumberFormat="0" applyBorder="0" applyAlignment="0" applyProtection="0"/>
    <xf numFmtId="0" fontId="48" fillId="6" borderId="0" applyNumberFormat="0" applyBorder="0" applyAlignment="0" applyProtection="0"/>
    <xf numFmtId="0" fontId="48" fillId="12" borderId="0" applyNumberFormat="0" applyBorder="0" applyAlignment="0" applyProtection="0"/>
    <xf numFmtId="0" fontId="48" fillId="7" borderId="0" applyNumberFormat="0" applyBorder="0" applyAlignment="0" applyProtection="0"/>
    <xf numFmtId="0" fontId="48" fillId="13" borderId="0" applyNumberFormat="0" applyBorder="0" applyAlignment="0" applyProtection="0"/>
    <xf numFmtId="0" fontId="48" fillId="8" borderId="0" applyNumberFormat="0" applyBorder="0" applyAlignment="0" applyProtection="0"/>
    <xf numFmtId="0" fontId="48" fillId="14" borderId="0" applyNumberFormat="0" applyBorder="0" applyAlignment="0" applyProtection="0"/>
    <xf numFmtId="0" fontId="48" fillId="9" borderId="0" applyNumberFormat="0" applyBorder="0" applyAlignment="0" applyProtection="0"/>
    <xf numFmtId="0" fontId="48" fillId="15" borderId="0" applyNumberFormat="0" applyBorder="0" applyAlignment="0" applyProtection="0"/>
    <xf numFmtId="0" fontId="48" fillId="10" borderId="0" applyNumberFormat="0" applyBorder="0" applyAlignment="0" applyProtection="0"/>
    <xf numFmtId="0" fontId="48" fillId="16" borderId="0" applyNumberFormat="0" applyBorder="0" applyAlignment="0" applyProtection="0"/>
    <xf numFmtId="0" fontId="47" fillId="0" borderId="0"/>
    <xf numFmtId="0" fontId="47" fillId="35" borderId="35" applyNumberFormat="0" applyFont="0" applyAlignment="0" applyProtection="0"/>
    <xf numFmtId="0" fontId="47" fillId="5" borderId="0" applyNumberFormat="0" applyBorder="0" applyAlignment="0" applyProtection="0"/>
    <xf numFmtId="0" fontId="47" fillId="11" borderId="0" applyNumberFormat="0" applyBorder="0" applyAlignment="0" applyProtection="0"/>
    <xf numFmtId="0" fontId="47" fillId="6" borderId="0" applyNumberFormat="0" applyBorder="0" applyAlignment="0" applyProtection="0"/>
    <xf numFmtId="0" fontId="47" fillId="12" borderId="0" applyNumberFormat="0" applyBorder="0" applyAlignment="0" applyProtection="0"/>
    <xf numFmtId="0" fontId="47" fillId="7" borderId="0" applyNumberFormat="0" applyBorder="0" applyAlignment="0" applyProtection="0"/>
    <xf numFmtId="0" fontId="47" fillId="13" borderId="0" applyNumberFormat="0" applyBorder="0" applyAlignment="0" applyProtection="0"/>
    <xf numFmtId="0" fontId="47" fillId="8" borderId="0" applyNumberFormat="0" applyBorder="0" applyAlignment="0" applyProtection="0"/>
    <xf numFmtId="0" fontId="47" fillId="14" borderId="0" applyNumberFormat="0" applyBorder="0" applyAlignment="0" applyProtection="0"/>
    <xf numFmtId="0" fontId="47" fillId="9" borderId="0" applyNumberFormat="0" applyBorder="0" applyAlignment="0" applyProtection="0"/>
    <xf numFmtId="0" fontId="47" fillId="15" borderId="0" applyNumberFormat="0" applyBorder="0" applyAlignment="0" applyProtection="0"/>
    <xf numFmtId="0" fontId="47" fillId="10" borderId="0" applyNumberFormat="0" applyBorder="0" applyAlignment="0" applyProtection="0"/>
    <xf numFmtId="0" fontId="47" fillId="16" borderId="0" applyNumberFormat="0" applyBorder="0" applyAlignment="0" applyProtection="0"/>
    <xf numFmtId="0" fontId="46" fillId="0" borderId="0"/>
    <xf numFmtId="0" fontId="46" fillId="35" borderId="35" applyNumberFormat="0" applyFont="0" applyAlignment="0" applyProtection="0"/>
    <xf numFmtId="0" fontId="46" fillId="5" borderId="0" applyNumberFormat="0" applyBorder="0" applyAlignment="0" applyProtection="0"/>
    <xf numFmtId="0" fontId="46" fillId="11" borderId="0" applyNumberFormat="0" applyBorder="0" applyAlignment="0" applyProtection="0"/>
    <xf numFmtId="0" fontId="46" fillId="6" borderId="0" applyNumberFormat="0" applyBorder="0" applyAlignment="0" applyProtection="0"/>
    <xf numFmtId="0" fontId="46" fillId="12" borderId="0" applyNumberFormat="0" applyBorder="0" applyAlignment="0" applyProtection="0"/>
    <xf numFmtId="0" fontId="46" fillId="7" borderId="0" applyNumberFormat="0" applyBorder="0" applyAlignment="0" applyProtection="0"/>
    <xf numFmtId="0" fontId="46" fillId="13" borderId="0" applyNumberFormat="0" applyBorder="0" applyAlignment="0" applyProtection="0"/>
    <xf numFmtId="0" fontId="46" fillId="8" borderId="0" applyNumberFormat="0" applyBorder="0" applyAlignment="0" applyProtection="0"/>
    <xf numFmtId="0" fontId="46" fillId="14" borderId="0" applyNumberFormat="0" applyBorder="0" applyAlignment="0" applyProtection="0"/>
    <xf numFmtId="0" fontId="46" fillId="9" borderId="0" applyNumberFormat="0" applyBorder="0" applyAlignment="0" applyProtection="0"/>
    <xf numFmtId="0" fontId="46" fillId="15" borderId="0" applyNumberFormat="0" applyBorder="0" applyAlignment="0" applyProtection="0"/>
    <xf numFmtId="0" fontId="46" fillId="10" borderId="0" applyNumberFormat="0" applyBorder="0" applyAlignment="0" applyProtection="0"/>
    <xf numFmtId="0" fontId="46" fillId="16" borderId="0" applyNumberFormat="0" applyBorder="0" applyAlignment="0" applyProtection="0"/>
    <xf numFmtId="0" fontId="45" fillId="0" borderId="0"/>
    <xf numFmtId="0" fontId="45" fillId="35" borderId="35" applyNumberFormat="0" applyFont="0" applyAlignment="0" applyProtection="0"/>
    <xf numFmtId="0" fontId="45" fillId="5" borderId="0" applyNumberFormat="0" applyBorder="0" applyAlignment="0" applyProtection="0"/>
    <xf numFmtId="0" fontId="45" fillId="11" borderId="0" applyNumberFormat="0" applyBorder="0" applyAlignment="0" applyProtection="0"/>
    <xf numFmtId="0" fontId="45" fillId="6" borderId="0" applyNumberFormat="0" applyBorder="0" applyAlignment="0" applyProtection="0"/>
    <xf numFmtId="0" fontId="45" fillId="12" borderId="0" applyNumberFormat="0" applyBorder="0" applyAlignment="0" applyProtection="0"/>
    <xf numFmtId="0" fontId="45" fillId="7" borderId="0" applyNumberFormat="0" applyBorder="0" applyAlignment="0" applyProtection="0"/>
    <xf numFmtId="0" fontId="45" fillId="13" borderId="0" applyNumberFormat="0" applyBorder="0" applyAlignment="0" applyProtection="0"/>
    <xf numFmtId="0" fontId="45" fillId="8" borderId="0" applyNumberFormat="0" applyBorder="0" applyAlignment="0" applyProtection="0"/>
    <xf numFmtId="0" fontId="45" fillId="14" borderId="0" applyNumberFormat="0" applyBorder="0" applyAlignment="0" applyProtection="0"/>
    <xf numFmtId="0" fontId="45" fillId="9" borderId="0" applyNumberFormat="0" applyBorder="0" applyAlignment="0" applyProtection="0"/>
    <xf numFmtId="0" fontId="45" fillId="15" borderId="0" applyNumberFormat="0" applyBorder="0" applyAlignment="0" applyProtection="0"/>
    <xf numFmtId="0" fontId="45" fillId="10" borderId="0" applyNumberFormat="0" applyBorder="0" applyAlignment="0" applyProtection="0"/>
    <xf numFmtId="0" fontId="45" fillId="16" borderId="0" applyNumberFormat="0" applyBorder="0" applyAlignment="0" applyProtection="0"/>
    <xf numFmtId="0" fontId="44" fillId="0" borderId="0"/>
    <xf numFmtId="0" fontId="44" fillId="35" borderId="35" applyNumberFormat="0" applyFont="0" applyAlignment="0" applyProtection="0"/>
    <xf numFmtId="0" fontId="44" fillId="5" borderId="0" applyNumberFormat="0" applyBorder="0" applyAlignment="0" applyProtection="0"/>
    <xf numFmtId="0" fontId="44" fillId="11" borderId="0" applyNumberFormat="0" applyBorder="0" applyAlignment="0" applyProtection="0"/>
    <xf numFmtId="0" fontId="44" fillId="6" borderId="0" applyNumberFormat="0" applyBorder="0" applyAlignment="0" applyProtection="0"/>
    <xf numFmtId="0" fontId="44" fillId="12" borderId="0" applyNumberFormat="0" applyBorder="0" applyAlignment="0" applyProtection="0"/>
    <xf numFmtId="0" fontId="44" fillId="7" borderId="0" applyNumberFormat="0" applyBorder="0" applyAlignment="0" applyProtection="0"/>
    <xf numFmtId="0" fontId="44" fillId="13" borderId="0" applyNumberFormat="0" applyBorder="0" applyAlignment="0" applyProtection="0"/>
    <xf numFmtId="0" fontId="44" fillId="8" borderId="0" applyNumberFormat="0" applyBorder="0" applyAlignment="0" applyProtection="0"/>
    <xf numFmtId="0" fontId="44" fillId="14" borderId="0" applyNumberFormat="0" applyBorder="0" applyAlignment="0" applyProtection="0"/>
    <xf numFmtId="0" fontId="44" fillId="9" borderId="0" applyNumberFormat="0" applyBorder="0" applyAlignment="0" applyProtection="0"/>
    <xf numFmtId="0" fontId="44" fillId="15" borderId="0" applyNumberFormat="0" applyBorder="0" applyAlignment="0" applyProtection="0"/>
    <xf numFmtId="0" fontId="44" fillId="10" borderId="0" applyNumberFormat="0" applyBorder="0" applyAlignment="0" applyProtection="0"/>
    <xf numFmtId="0" fontId="44" fillId="16" borderId="0" applyNumberFormat="0" applyBorder="0" applyAlignment="0" applyProtection="0"/>
    <xf numFmtId="0" fontId="43" fillId="0" borderId="0"/>
    <xf numFmtId="0" fontId="43" fillId="35" borderId="35" applyNumberFormat="0" applyFont="0" applyAlignment="0" applyProtection="0"/>
    <xf numFmtId="0" fontId="43" fillId="5" borderId="0" applyNumberFormat="0" applyBorder="0" applyAlignment="0" applyProtection="0"/>
    <xf numFmtId="0" fontId="43" fillId="11" borderId="0" applyNumberFormat="0" applyBorder="0" applyAlignment="0" applyProtection="0"/>
    <xf numFmtId="0" fontId="43" fillId="6" borderId="0" applyNumberFormat="0" applyBorder="0" applyAlignment="0" applyProtection="0"/>
    <xf numFmtId="0" fontId="43" fillId="12" borderId="0" applyNumberFormat="0" applyBorder="0" applyAlignment="0" applyProtection="0"/>
    <xf numFmtId="0" fontId="43" fillId="7" borderId="0" applyNumberFormat="0" applyBorder="0" applyAlignment="0" applyProtection="0"/>
    <xf numFmtId="0" fontId="43" fillId="13" borderId="0" applyNumberFormat="0" applyBorder="0" applyAlignment="0" applyProtection="0"/>
    <xf numFmtId="0" fontId="43" fillId="8" borderId="0" applyNumberFormat="0" applyBorder="0" applyAlignment="0" applyProtection="0"/>
    <xf numFmtId="0" fontId="43" fillId="14" borderId="0" applyNumberFormat="0" applyBorder="0" applyAlignment="0" applyProtection="0"/>
    <xf numFmtId="0" fontId="43" fillId="9" borderId="0" applyNumberFormat="0" applyBorder="0" applyAlignment="0" applyProtection="0"/>
    <xf numFmtId="0" fontId="43" fillId="15" borderId="0" applyNumberFormat="0" applyBorder="0" applyAlignment="0" applyProtection="0"/>
    <xf numFmtId="0" fontId="43" fillId="10" borderId="0" applyNumberFormat="0" applyBorder="0" applyAlignment="0" applyProtection="0"/>
    <xf numFmtId="0" fontId="43" fillId="16" borderId="0" applyNumberFormat="0" applyBorder="0" applyAlignment="0" applyProtection="0"/>
    <xf numFmtId="0" fontId="42" fillId="0" borderId="0"/>
    <xf numFmtId="0" fontId="42" fillId="35" borderId="35" applyNumberFormat="0" applyFont="0" applyAlignment="0" applyProtection="0"/>
    <xf numFmtId="0" fontId="42" fillId="5" borderId="0" applyNumberFormat="0" applyBorder="0" applyAlignment="0" applyProtection="0"/>
    <xf numFmtId="0" fontId="42" fillId="11" borderId="0" applyNumberFormat="0" applyBorder="0" applyAlignment="0" applyProtection="0"/>
    <xf numFmtId="0" fontId="42" fillId="6" borderId="0" applyNumberFormat="0" applyBorder="0" applyAlignment="0" applyProtection="0"/>
    <xf numFmtId="0" fontId="42" fillId="12" borderId="0" applyNumberFormat="0" applyBorder="0" applyAlignment="0" applyProtection="0"/>
    <xf numFmtId="0" fontId="42" fillId="7" borderId="0" applyNumberFormat="0" applyBorder="0" applyAlignment="0" applyProtection="0"/>
    <xf numFmtId="0" fontId="42" fillId="13" borderId="0" applyNumberFormat="0" applyBorder="0" applyAlignment="0" applyProtection="0"/>
    <xf numFmtId="0" fontId="42" fillId="8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5" borderId="0" applyNumberFormat="0" applyBorder="0" applyAlignment="0" applyProtection="0"/>
    <xf numFmtId="0" fontId="42" fillId="10" borderId="0" applyNumberFormat="0" applyBorder="0" applyAlignment="0" applyProtection="0"/>
    <xf numFmtId="0" fontId="42" fillId="16" borderId="0" applyNumberFormat="0" applyBorder="0" applyAlignment="0" applyProtection="0"/>
    <xf numFmtId="0" fontId="41" fillId="0" borderId="0"/>
    <xf numFmtId="0" fontId="41" fillId="35" borderId="35" applyNumberFormat="0" applyFont="0" applyAlignment="0" applyProtection="0"/>
    <xf numFmtId="0" fontId="41" fillId="5" borderId="0" applyNumberFormat="0" applyBorder="0" applyAlignment="0" applyProtection="0"/>
    <xf numFmtId="0" fontId="41" fillId="11" borderId="0" applyNumberFormat="0" applyBorder="0" applyAlignment="0" applyProtection="0"/>
    <xf numFmtId="0" fontId="41" fillId="6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1" fillId="13" borderId="0" applyNumberFormat="0" applyBorder="0" applyAlignment="0" applyProtection="0"/>
    <xf numFmtId="0" fontId="41" fillId="8" borderId="0" applyNumberFormat="0" applyBorder="0" applyAlignment="0" applyProtection="0"/>
    <xf numFmtId="0" fontId="41" fillId="14" borderId="0" applyNumberFormat="0" applyBorder="0" applyAlignment="0" applyProtection="0"/>
    <xf numFmtId="0" fontId="41" fillId="9" borderId="0" applyNumberFormat="0" applyBorder="0" applyAlignment="0" applyProtection="0"/>
    <xf numFmtId="0" fontId="41" fillId="15" borderId="0" applyNumberFormat="0" applyBorder="0" applyAlignment="0" applyProtection="0"/>
    <xf numFmtId="0" fontId="41" fillId="10" borderId="0" applyNumberFormat="0" applyBorder="0" applyAlignment="0" applyProtection="0"/>
    <xf numFmtId="0" fontId="41" fillId="16" borderId="0" applyNumberFormat="0" applyBorder="0" applyAlignment="0" applyProtection="0"/>
    <xf numFmtId="0" fontId="40" fillId="0" borderId="0"/>
    <xf numFmtId="0" fontId="40" fillId="35" borderId="35" applyNumberFormat="0" applyFont="0" applyAlignment="0" applyProtection="0"/>
    <xf numFmtId="0" fontId="40" fillId="5" borderId="0" applyNumberFormat="0" applyBorder="0" applyAlignment="0" applyProtection="0"/>
    <xf numFmtId="0" fontId="40" fillId="11" borderId="0" applyNumberFormat="0" applyBorder="0" applyAlignment="0" applyProtection="0"/>
    <xf numFmtId="0" fontId="40" fillId="6" borderId="0" applyNumberFormat="0" applyBorder="0" applyAlignment="0" applyProtection="0"/>
    <xf numFmtId="0" fontId="40" fillId="12" borderId="0" applyNumberFormat="0" applyBorder="0" applyAlignment="0" applyProtection="0"/>
    <xf numFmtId="0" fontId="40" fillId="7" borderId="0" applyNumberFormat="0" applyBorder="0" applyAlignment="0" applyProtection="0"/>
    <xf numFmtId="0" fontId="40" fillId="13" borderId="0" applyNumberFormat="0" applyBorder="0" applyAlignment="0" applyProtection="0"/>
    <xf numFmtId="0" fontId="40" fillId="8" borderId="0" applyNumberFormat="0" applyBorder="0" applyAlignment="0" applyProtection="0"/>
    <xf numFmtId="0" fontId="40" fillId="14" borderId="0" applyNumberFormat="0" applyBorder="0" applyAlignment="0" applyProtection="0"/>
    <xf numFmtId="0" fontId="40" fillId="9" borderId="0" applyNumberFormat="0" applyBorder="0" applyAlignment="0" applyProtection="0"/>
    <xf numFmtId="0" fontId="40" fillId="15" borderId="0" applyNumberFormat="0" applyBorder="0" applyAlignment="0" applyProtection="0"/>
    <xf numFmtId="0" fontId="40" fillId="10" borderId="0" applyNumberFormat="0" applyBorder="0" applyAlignment="0" applyProtection="0"/>
    <xf numFmtId="0" fontId="40" fillId="16" borderId="0" applyNumberFormat="0" applyBorder="0" applyAlignment="0" applyProtection="0"/>
    <xf numFmtId="0" fontId="39" fillId="0" borderId="0"/>
    <xf numFmtId="0" fontId="39" fillId="35" borderId="35" applyNumberFormat="0" applyFont="0" applyAlignment="0" applyProtection="0"/>
    <xf numFmtId="0" fontId="39" fillId="5" borderId="0" applyNumberFormat="0" applyBorder="0" applyAlignment="0" applyProtection="0"/>
    <xf numFmtId="0" fontId="39" fillId="11" borderId="0" applyNumberFormat="0" applyBorder="0" applyAlignment="0" applyProtection="0"/>
    <xf numFmtId="0" fontId="39" fillId="6" borderId="0" applyNumberFormat="0" applyBorder="0" applyAlignment="0" applyProtection="0"/>
    <xf numFmtId="0" fontId="39" fillId="12" borderId="0" applyNumberFormat="0" applyBorder="0" applyAlignment="0" applyProtection="0"/>
    <xf numFmtId="0" fontId="39" fillId="7" borderId="0" applyNumberFormat="0" applyBorder="0" applyAlignment="0" applyProtection="0"/>
    <xf numFmtId="0" fontId="39" fillId="13" borderId="0" applyNumberFormat="0" applyBorder="0" applyAlignment="0" applyProtection="0"/>
    <xf numFmtId="0" fontId="39" fillId="8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5" borderId="0" applyNumberFormat="0" applyBorder="0" applyAlignment="0" applyProtection="0"/>
    <xf numFmtId="0" fontId="39" fillId="10" borderId="0" applyNumberFormat="0" applyBorder="0" applyAlignment="0" applyProtection="0"/>
    <xf numFmtId="0" fontId="39" fillId="16" borderId="0" applyNumberFormat="0" applyBorder="0" applyAlignment="0" applyProtection="0"/>
    <xf numFmtId="0" fontId="38" fillId="0" borderId="0"/>
    <xf numFmtId="0" fontId="38" fillId="35" borderId="35" applyNumberFormat="0" applyFont="0" applyAlignment="0" applyProtection="0"/>
    <xf numFmtId="0" fontId="38" fillId="5" borderId="0" applyNumberFormat="0" applyBorder="0" applyAlignment="0" applyProtection="0"/>
    <xf numFmtId="0" fontId="38" fillId="11" borderId="0" applyNumberFormat="0" applyBorder="0" applyAlignment="0" applyProtection="0"/>
    <xf numFmtId="0" fontId="38" fillId="6" borderId="0" applyNumberFormat="0" applyBorder="0" applyAlignment="0" applyProtection="0"/>
    <xf numFmtId="0" fontId="38" fillId="12" borderId="0" applyNumberFormat="0" applyBorder="0" applyAlignment="0" applyProtection="0"/>
    <xf numFmtId="0" fontId="38" fillId="7" borderId="0" applyNumberFormat="0" applyBorder="0" applyAlignment="0" applyProtection="0"/>
    <xf numFmtId="0" fontId="38" fillId="13" borderId="0" applyNumberFormat="0" applyBorder="0" applyAlignment="0" applyProtection="0"/>
    <xf numFmtId="0" fontId="38" fillId="8" borderId="0" applyNumberFormat="0" applyBorder="0" applyAlignment="0" applyProtection="0"/>
    <xf numFmtId="0" fontId="38" fillId="14" borderId="0" applyNumberFormat="0" applyBorder="0" applyAlignment="0" applyProtection="0"/>
    <xf numFmtId="0" fontId="38" fillId="9" borderId="0" applyNumberFormat="0" applyBorder="0" applyAlignment="0" applyProtection="0"/>
    <xf numFmtId="0" fontId="38" fillId="15" borderId="0" applyNumberFormat="0" applyBorder="0" applyAlignment="0" applyProtection="0"/>
    <xf numFmtId="0" fontId="38" fillId="10" borderId="0" applyNumberFormat="0" applyBorder="0" applyAlignment="0" applyProtection="0"/>
    <xf numFmtId="0" fontId="38" fillId="16" borderId="0" applyNumberFormat="0" applyBorder="0" applyAlignment="0" applyProtection="0"/>
    <xf numFmtId="0" fontId="37" fillId="0" borderId="0"/>
    <xf numFmtId="0" fontId="37" fillId="35" borderId="35" applyNumberFormat="0" applyFont="0" applyAlignment="0" applyProtection="0"/>
    <xf numFmtId="0" fontId="37" fillId="5" borderId="0" applyNumberFormat="0" applyBorder="0" applyAlignment="0" applyProtection="0"/>
    <xf numFmtId="0" fontId="37" fillId="11" borderId="0" applyNumberFormat="0" applyBorder="0" applyAlignment="0" applyProtection="0"/>
    <xf numFmtId="0" fontId="37" fillId="6" borderId="0" applyNumberFormat="0" applyBorder="0" applyAlignment="0" applyProtection="0"/>
    <xf numFmtId="0" fontId="37" fillId="12" borderId="0" applyNumberFormat="0" applyBorder="0" applyAlignment="0" applyProtection="0"/>
    <xf numFmtId="0" fontId="37" fillId="7" borderId="0" applyNumberFormat="0" applyBorder="0" applyAlignment="0" applyProtection="0"/>
    <xf numFmtId="0" fontId="37" fillId="13" borderId="0" applyNumberFormat="0" applyBorder="0" applyAlignment="0" applyProtection="0"/>
    <xf numFmtId="0" fontId="37" fillId="8" borderId="0" applyNumberFormat="0" applyBorder="0" applyAlignment="0" applyProtection="0"/>
    <xf numFmtId="0" fontId="37" fillId="14" borderId="0" applyNumberFormat="0" applyBorder="0" applyAlignment="0" applyProtection="0"/>
    <xf numFmtId="0" fontId="37" fillId="9" borderId="0" applyNumberFormat="0" applyBorder="0" applyAlignment="0" applyProtection="0"/>
    <xf numFmtId="0" fontId="37" fillId="15" borderId="0" applyNumberFormat="0" applyBorder="0" applyAlignment="0" applyProtection="0"/>
    <xf numFmtId="0" fontId="37" fillId="10" borderId="0" applyNumberFormat="0" applyBorder="0" applyAlignment="0" applyProtection="0"/>
    <xf numFmtId="0" fontId="37" fillId="16" borderId="0" applyNumberFormat="0" applyBorder="0" applyAlignment="0" applyProtection="0"/>
    <xf numFmtId="0" fontId="36" fillId="0" borderId="0"/>
    <xf numFmtId="0" fontId="36" fillId="35" borderId="35" applyNumberFormat="0" applyFont="0" applyAlignment="0" applyProtection="0"/>
    <xf numFmtId="0" fontId="36" fillId="5" borderId="0" applyNumberFormat="0" applyBorder="0" applyAlignment="0" applyProtection="0"/>
    <xf numFmtId="0" fontId="36" fillId="11" borderId="0" applyNumberFormat="0" applyBorder="0" applyAlignment="0" applyProtection="0"/>
    <xf numFmtId="0" fontId="36" fillId="6" borderId="0" applyNumberFormat="0" applyBorder="0" applyAlignment="0" applyProtection="0"/>
    <xf numFmtId="0" fontId="36" fillId="12" borderId="0" applyNumberFormat="0" applyBorder="0" applyAlignment="0" applyProtection="0"/>
    <xf numFmtId="0" fontId="36" fillId="7" borderId="0" applyNumberFormat="0" applyBorder="0" applyAlignment="0" applyProtection="0"/>
    <xf numFmtId="0" fontId="36" fillId="13" borderId="0" applyNumberFormat="0" applyBorder="0" applyAlignment="0" applyProtection="0"/>
    <xf numFmtId="0" fontId="36" fillId="8" borderId="0" applyNumberFormat="0" applyBorder="0" applyAlignment="0" applyProtection="0"/>
    <xf numFmtId="0" fontId="36" fillId="14" borderId="0" applyNumberFormat="0" applyBorder="0" applyAlignment="0" applyProtection="0"/>
    <xf numFmtId="0" fontId="36" fillId="9" borderId="0" applyNumberFormat="0" applyBorder="0" applyAlignment="0" applyProtection="0"/>
    <xf numFmtId="0" fontId="36" fillId="15" borderId="0" applyNumberFormat="0" applyBorder="0" applyAlignment="0" applyProtection="0"/>
    <xf numFmtId="0" fontId="36" fillId="10" borderId="0" applyNumberFormat="0" applyBorder="0" applyAlignment="0" applyProtection="0"/>
    <xf numFmtId="0" fontId="36" fillId="16" borderId="0" applyNumberFormat="0" applyBorder="0" applyAlignment="0" applyProtection="0"/>
    <xf numFmtId="0" fontId="35" fillId="0" borderId="0"/>
    <xf numFmtId="0" fontId="35" fillId="35" borderId="35" applyNumberFormat="0" applyFont="0" applyAlignment="0" applyProtection="0"/>
    <xf numFmtId="0" fontId="35" fillId="5" borderId="0" applyNumberFormat="0" applyBorder="0" applyAlignment="0" applyProtection="0"/>
    <xf numFmtId="0" fontId="35" fillId="11" borderId="0" applyNumberFormat="0" applyBorder="0" applyAlignment="0" applyProtection="0"/>
    <xf numFmtId="0" fontId="35" fillId="6" borderId="0" applyNumberFormat="0" applyBorder="0" applyAlignment="0" applyProtection="0"/>
    <xf numFmtId="0" fontId="35" fillId="12" borderId="0" applyNumberFormat="0" applyBorder="0" applyAlignment="0" applyProtection="0"/>
    <xf numFmtId="0" fontId="35" fillId="7" borderId="0" applyNumberFormat="0" applyBorder="0" applyAlignment="0" applyProtection="0"/>
    <xf numFmtId="0" fontId="35" fillId="13" borderId="0" applyNumberFormat="0" applyBorder="0" applyAlignment="0" applyProtection="0"/>
    <xf numFmtId="0" fontId="35" fillId="8" borderId="0" applyNumberFormat="0" applyBorder="0" applyAlignment="0" applyProtection="0"/>
    <xf numFmtId="0" fontId="35" fillId="14" borderId="0" applyNumberFormat="0" applyBorder="0" applyAlignment="0" applyProtection="0"/>
    <xf numFmtId="0" fontId="35" fillId="9" borderId="0" applyNumberFormat="0" applyBorder="0" applyAlignment="0" applyProtection="0"/>
    <xf numFmtId="0" fontId="35" fillId="15" borderId="0" applyNumberFormat="0" applyBorder="0" applyAlignment="0" applyProtection="0"/>
    <xf numFmtId="0" fontId="35" fillId="10" borderId="0" applyNumberFormat="0" applyBorder="0" applyAlignment="0" applyProtection="0"/>
    <xf numFmtId="0" fontId="35" fillId="16" borderId="0" applyNumberFormat="0" applyBorder="0" applyAlignment="0" applyProtection="0"/>
    <xf numFmtId="0" fontId="34" fillId="0" borderId="0"/>
    <xf numFmtId="0" fontId="34" fillId="0" borderId="0"/>
    <xf numFmtId="0" fontId="34" fillId="35" borderId="35" applyNumberFormat="0" applyFont="0" applyAlignment="0" applyProtection="0"/>
    <xf numFmtId="0" fontId="34" fillId="5" borderId="0" applyNumberFormat="0" applyBorder="0" applyAlignment="0" applyProtection="0"/>
    <xf numFmtId="0" fontId="34" fillId="11" borderId="0" applyNumberFormat="0" applyBorder="0" applyAlignment="0" applyProtection="0"/>
    <xf numFmtId="0" fontId="34" fillId="6" borderId="0" applyNumberFormat="0" applyBorder="0" applyAlignment="0" applyProtection="0"/>
    <xf numFmtId="0" fontId="34" fillId="12" borderId="0" applyNumberFormat="0" applyBorder="0" applyAlignment="0" applyProtection="0"/>
    <xf numFmtId="0" fontId="34" fillId="7" borderId="0" applyNumberFormat="0" applyBorder="0" applyAlignment="0" applyProtection="0"/>
    <xf numFmtId="0" fontId="34" fillId="13" borderId="0" applyNumberFormat="0" applyBorder="0" applyAlignment="0" applyProtection="0"/>
    <xf numFmtId="0" fontId="34" fillId="8" borderId="0" applyNumberFormat="0" applyBorder="0" applyAlignment="0" applyProtection="0"/>
    <xf numFmtId="0" fontId="34" fillId="14" borderId="0" applyNumberFormat="0" applyBorder="0" applyAlignment="0" applyProtection="0"/>
    <xf numFmtId="0" fontId="34" fillId="9" borderId="0" applyNumberFormat="0" applyBorder="0" applyAlignment="0" applyProtection="0"/>
    <xf numFmtId="0" fontId="34" fillId="15" borderId="0" applyNumberFormat="0" applyBorder="0" applyAlignment="0" applyProtection="0"/>
    <xf numFmtId="0" fontId="34" fillId="10" borderId="0" applyNumberFormat="0" applyBorder="0" applyAlignment="0" applyProtection="0"/>
    <xf numFmtId="0" fontId="34" fillId="16" borderId="0" applyNumberFormat="0" applyBorder="0" applyAlignment="0" applyProtection="0"/>
    <xf numFmtId="0" fontId="33" fillId="0" borderId="0"/>
    <xf numFmtId="0" fontId="33" fillId="0" borderId="0"/>
    <xf numFmtId="0" fontId="33" fillId="35" borderId="35" applyNumberFormat="0" applyFont="0" applyAlignment="0" applyProtection="0"/>
    <xf numFmtId="0" fontId="33" fillId="5" borderId="0" applyNumberFormat="0" applyBorder="0" applyAlignment="0" applyProtection="0"/>
    <xf numFmtId="0" fontId="33" fillId="11" borderId="0" applyNumberFormat="0" applyBorder="0" applyAlignment="0" applyProtection="0"/>
    <xf numFmtId="0" fontId="33" fillId="6" borderId="0" applyNumberFormat="0" applyBorder="0" applyAlignment="0" applyProtection="0"/>
    <xf numFmtId="0" fontId="33" fillId="12" borderId="0" applyNumberFormat="0" applyBorder="0" applyAlignment="0" applyProtection="0"/>
    <xf numFmtId="0" fontId="33" fillId="7" borderId="0" applyNumberFormat="0" applyBorder="0" applyAlignment="0" applyProtection="0"/>
    <xf numFmtId="0" fontId="33" fillId="13" borderId="0" applyNumberFormat="0" applyBorder="0" applyAlignment="0" applyProtection="0"/>
    <xf numFmtId="0" fontId="33" fillId="8" borderId="0" applyNumberFormat="0" applyBorder="0" applyAlignment="0" applyProtection="0"/>
    <xf numFmtId="0" fontId="33" fillId="14" borderId="0" applyNumberFormat="0" applyBorder="0" applyAlignment="0" applyProtection="0"/>
    <xf numFmtId="0" fontId="33" fillId="9" borderId="0" applyNumberFormat="0" applyBorder="0" applyAlignment="0" applyProtection="0"/>
    <xf numFmtId="0" fontId="33" fillId="15" borderId="0" applyNumberFormat="0" applyBorder="0" applyAlignment="0" applyProtection="0"/>
    <xf numFmtId="0" fontId="33" fillId="10" borderId="0" applyNumberFormat="0" applyBorder="0" applyAlignment="0" applyProtection="0"/>
    <xf numFmtId="0" fontId="33" fillId="16" borderId="0" applyNumberFormat="0" applyBorder="0" applyAlignment="0" applyProtection="0"/>
    <xf numFmtId="0" fontId="32" fillId="0" borderId="0"/>
    <xf numFmtId="0" fontId="32" fillId="35" borderId="35" applyNumberFormat="0" applyFont="0" applyAlignment="0" applyProtection="0"/>
    <xf numFmtId="0" fontId="32" fillId="5" borderId="0" applyNumberFormat="0" applyBorder="0" applyAlignment="0" applyProtection="0"/>
    <xf numFmtId="0" fontId="32" fillId="11" borderId="0" applyNumberFormat="0" applyBorder="0" applyAlignment="0" applyProtection="0"/>
    <xf numFmtId="0" fontId="32" fillId="6" borderId="0" applyNumberFormat="0" applyBorder="0" applyAlignment="0" applyProtection="0"/>
    <xf numFmtId="0" fontId="32" fillId="12" borderId="0" applyNumberFormat="0" applyBorder="0" applyAlignment="0" applyProtection="0"/>
    <xf numFmtId="0" fontId="32" fillId="7" borderId="0" applyNumberFormat="0" applyBorder="0" applyAlignment="0" applyProtection="0"/>
    <xf numFmtId="0" fontId="32" fillId="13" borderId="0" applyNumberFormat="0" applyBorder="0" applyAlignment="0" applyProtection="0"/>
    <xf numFmtId="0" fontId="32" fillId="8" borderId="0" applyNumberFormat="0" applyBorder="0" applyAlignment="0" applyProtection="0"/>
    <xf numFmtId="0" fontId="32" fillId="14" borderId="0" applyNumberFormat="0" applyBorder="0" applyAlignment="0" applyProtection="0"/>
    <xf numFmtId="0" fontId="32" fillId="9" borderId="0" applyNumberFormat="0" applyBorder="0" applyAlignment="0" applyProtection="0"/>
    <xf numFmtId="0" fontId="32" fillId="15" borderId="0" applyNumberFormat="0" applyBorder="0" applyAlignment="0" applyProtection="0"/>
    <xf numFmtId="0" fontId="32" fillId="10" borderId="0" applyNumberFormat="0" applyBorder="0" applyAlignment="0" applyProtection="0"/>
    <xf numFmtId="0" fontId="32" fillId="16" borderId="0" applyNumberFormat="0" applyBorder="0" applyAlignment="0" applyProtection="0"/>
    <xf numFmtId="0" fontId="31" fillId="0" borderId="0"/>
    <xf numFmtId="0" fontId="31" fillId="35" borderId="35" applyNumberFormat="0" applyFont="0" applyAlignment="0" applyProtection="0"/>
    <xf numFmtId="0" fontId="31" fillId="5" borderId="0" applyNumberFormat="0" applyBorder="0" applyAlignment="0" applyProtection="0"/>
    <xf numFmtId="0" fontId="31" fillId="11" borderId="0" applyNumberFormat="0" applyBorder="0" applyAlignment="0" applyProtection="0"/>
    <xf numFmtId="0" fontId="31" fillId="6" borderId="0" applyNumberFormat="0" applyBorder="0" applyAlignment="0" applyProtection="0"/>
    <xf numFmtId="0" fontId="31" fillId="12" borderId="0" applyNumberFormat="0" applyBorder="0" applyAlignment="0" applyProtection="0"/>
    <xf numFmtId="0" fontId="31" fillId="7" borderId="0" applyNumberFormat="0" applyBorder="0" applyAlignment="0" applyProtection="0"/>
    <xf numFmtId="0" fontId="31" fillId="13" borderId="0" applyNumberFormat="0" applyBorder="0" applyAlignment="0" applyProtection="0"/>
    <xf numFmtId="0" fontId="31" fillId="8" borderId="0" applyNumberFormat="0" applyBorder="0" applyAlignment="0" applyProtection="0"/>
    <xf numFmtId="0" fontId="31" fillId="14" borderId="0" applyNumberFormat="0" applyBorder="0" applyAlignment="0" applyProtection="0"/>
    <xf numFmtId="0" fontId="31" fillId="9" borderId="0" applyNumberFormat="0" applyBorder="0" applyAlignment="0" applyProtection="0"/>
    <xf numFmtId="0" fontId="31" fillId="15" borderId="0" applyNumberFormat="0" applyBorder="0" applyAlignment="0" applyProtection="0"/>
    <xf numFmtId="0" fontId="31" fillId="10" borderId="0" applyNumberFormat="0" applyBorder="0" applyAlignment="0" applyProtection="0"/>
    <xf numFmtId="0" fontId="31" fillId="16" borderId="0" applyNumberFormat="0" applyBorder="0" applyAlignment="0" applyProtection="0"/>
    <xf numFmtId="0" fontId="30" fillId="0" borderId="0"/>
    <xf numFmtId="0" fontId="30" fillId="35" borderId="35" applyNumberFormat="0" applyFont="0" applyAlignment="0" applyProtection="0"/>
    <xf numFmtId="0" fontId="30" fillId="5" borderId="0" applyNumberFormat="0" applyBorder="0" applyAlignment="0" applyProtection="0"/>
    <xf numFmtId="0" fontId="30" fillId="11" borderId="0" applyNumberFormat="0" applyBorder="0" applyAlignment="0" applyProtection="0"/>
    <xf numFmtId="0" fontId="30" fillId="6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0" fillId="13" borderId="0" applyNumberFormat="0" applyBorder="0" applyAlignment="0" applyProtection="0"/>
    <xf numFmtId="0" fontId="30" fillId="8" borderId="0" applyNumberFormat="0" applyBorder="0" applyAlignment="0" applyProtection="0"/>
    <xf numFmtId="0" fontId="30" fillId="14" borderId="0" applyNumberFormat="0" applyBorder="0" applyAlignment="0" applyProtection="0"/>
    <xf numFmtId="0" fontId="30" fillId="9" borderId="0" applyNumberFormat="0" applyBorder="0" applyAlignment="0" applyProtection="0"/>
    <xf numFmtId="0" fontId="30" fillId="15" borderId="0" applyNumberFormat="0" applyBorder="0" applyAlignment="0" applyProtection="0"/>
    <xf numFmtId="0" fontId="30" fillId="10" borderId="0" applyNumberFormat="0" applyBorder="0" applyAlignment="0" applyProtection="0"/>
    <xf numFmtId="0" fontId="30" fillId="16" borderId="0" applyNumberFormat="0" applyBorder="0" applyAlignment="0" applyProtection="0"/>
    <xf numFmtId="0" fontId="29" fillId="0" borderId="0"/>
    <xf numFmtId="0" fontId="29" fillId="35" borderId="35" applyNumberFormat="0" applyFont="0" applyAlignment="0" applyProtection="0"/>
    <xf numFmtId="0" fontId="29" fillId="5" borderId="0" applyNumberFormat="0" applyBorder="0" applyAlignment="0" applyProtection="0"/>
    <xf numFmtId="0" fontId="29" fillId="11" borderId="0" applyNumberFormat="0" applyBorder="0" applyAlignment="0" applyProtection="0"/>
    <xf numFmtId="0" fontId="29" fillId="6" borderId="0" applyNumberFormat="0" applyBorder="0" applyAlignment="0" applyProtection="0"/>
    <xf numFmtId="0" fontId="29" fillId="12" borderId="0" applyNumberFormat="0" applyBorder="0" applyAlignment="0" applyProtection="0"/>
    <xf numFmtId="0" fontId="29" fillId="7" borderId="0" applyNumberFormat="0" applyBorder="0" applyAlignment="0" applyProtection="0"/>
    <xf numFmtId="0" fontId="29" fillId="13" borderId="0" applyNumberFormat="0" applyBorder="0" applyAlignment="0" applyProtection="0"/>
    <xf numFmtId="0" fontId="29" fillId="8" borderId="0" applyNumberFormat="0" applyBorder="0" applyAlignment="0" applyProtection="0"/>
    <xf numFmtId="0" fontId="29" fillId="14" borderId="0" applyNumberFormat="0" applyBorder="0" applyAlignment="0" applyProtection="0"/>
    <xf numFmtId="0" fontId="29" fillId="9" borderId="0" applyNumberFormat="0" applyBorder="0" applyAlignment="0" applyProtection="0"/>
    <xf numFmtId="0" fontId="29" fillId="15" borderId="0" applyNumberFormat="0" applyBorder="0" applyAlignment="0" applyProtection="0"/>
    <xf numFmtId="0" fontId="29" fillId="10" borderId="0" applyNumberFormat="0" applyBorder="0" applyAlignment="0" applyProtection="0"/>
    <xf numFmtId="0" fontId="29" fillId="16" borderId="0" applyNumberFormat="0" applyBorder="0" applyAlignment="0" applyProtection="0"/>
    <xf numFmtId="0" fontId="28" fillId="0" borderId="0"/>
    <xf numFmtId="0" fontId="28" fillId="35" borderId="35" applyNumberFormat="0" applyFont="0" applyAlignment="0" applyProtection="0"/>
    <xf numFmtId="0" fontId="28" fillId="5" borderId="0" applyNumberFormat="0" applyBorder="0" applyAlignment="0" applyProtection="0"/>
    <xf numFmtId="0" fontId="28" fillId="11" borderId="0" applyNumberFormat="0" applyBorder="0" applyAlignment="0" applyProtection="0"/>
    <xf numFmtId="0" fontId="28" fillId="6" borderId="0" applyNumberFormat="0" applyBorder="0" applyAlignment="0" applyProtection="0"/>
    <xf numFmtId="0" fontId="28" fillId="12" borderId="0" applyNumberFormat="0" applyBorder="0" applyAlignment="0" applyProtection="0"/>
    <xf numFmtId="0" fontId="28" fillId="7" borderId="0" applyNumberFormat="0" applyBorder="0" applyAlignment="0" applyProtection="0"/>
    <xf numFmtId="0" fontId="28" fillId="13" borderId="0" applyNumberFormat="0" applyBorder="0" applyAlignment="0" applyProtection="0"/>
    <xf numFmtId="0" fontId="28" fillId="8" borderId="0" applyNumberFormat="0" applyBorder="0" applyAlignment="0" applyProtection="0"/>
    <xf numFmtId="0" fontId="28" fillId="14" borderId="0" applyNumberFormat="0" applyBorder="0" applyAlignment="0" applyProtection="0"/>
    <xf numFmtId="0" fontId="28" fillId="9" borderId="0" applyNumberFormat="0" applyBorder="0" applyAlignment="0" applyProtection="0"/>
    <xf numFmtId="0" fontId="28" fillId="15" borderId="0" applyNumberFormat="0" applyBorder="0" applyAlignment="0" applyProtection="0"/>
    <xf numFmtId="0" fontId="28" fillId="10" borderId="0" applyNumberFormat="0" applyBorder="0" applyAlignment="0" applyProtection="0"/>
    <xf numFmtId="0" fontId="28" fillId="16" borderId="0" applyNumberFormat="0" applyBorder="0" applyAlignment="0" applyProtection="0"/>
    <xf numFmtId="0" fontId="27" fillId="0" borderId="0"/>
    <xf numFmtId="0" fontId="27" fillId="35" borderId="35" applyNumberFormat="0" applyFont="0" applyAlignment="0" applyProtection="0"/>
    <xf numFmtId="0" fontId="27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3" borderId="0" applyNumberFormat="0" applyBorder="0" applyAlignment="0" applyProtection="0"/>
    <xf numFmtId="0" fontId="27" fillId="8" borderId="0" applyNumberFormat="0" applyBorder="0" applyAlignment="0" applyProtection="0"/>
    <xf numFmtId="0" fontId="27" fillId="14" borderId="0" applyNumberFormat="0" applyBorder="0" applyAlignment="0" applyProtection="0"/>
    <xf numFmtId="0" fontId="27" fillId="9" borderId="0" applyNumberFormat="0" applyBorder="0" applyAlignment="0" applyProtection="0"/>
    <xf numFmtId="0" fontId="27" fillId="15" borderId="0" applyNumberFormat="0" applyBorder="0" applyAlignment="0" applyProtection="0"/>
    <xf numFmtId="0" fontId="27" fillId="10" borderId="0" applyNumberFormat="0" applyBorder="0" applyAlignment="0" applyProtection="0"/>
    <xf numFmtId="0" fontId="27" fillId="16" borderId="0" applyNumberFormat="0" applyBorder="0" applyAlignment="0" applyProtection="0"/>
    <xf numFmtId="0" fontId="26" fillId="0" borderId="0"/>
    <xf numFmtId="0" fontId="26" fillId="35" borderId="35" applyNumberFormat="0" applyFont="0" applyAlignment="0" applyProtection="0"/>
    <xf numFmtId="0" fontId="26" fillId="5" borderId="0" applyNumberFormat="0" applyBorder="0" applyAlignment="0" applyProtection="0"/>
    <xf numFmtId="0" fontId="26" fillId="11" borderId="0" applyNumberFormat="0" applyBorder="0" applyAlignment="0" applyProtection="0"/>
    <xf numFmtId="0" fontId="26" fillId="6" borderId="0" applyNumberFormat="0" applyBorder="0" applyAlignment="0" applyProtection="0"/>
    <xf numFmtId="0" fontId="26" fillId="12" borderId="0" applyNumberFormat="0" applyBorder="0" applyAlignment="0" applyProtection="0"/>
    <xf numFmtId="0" fontId="26" fillId="7" borderId="0" applyNumberFormat="0" applyBorder="0" applyAlignment="0" applyProtection="0"/>
    <xf numFmtId="0" fontId="26" fillId="13" borderId="0" applyNumberFormat="0" applyBorder="0" applyAlignment="0" applyProtection="0"/>
    <xf numFmtId="0" fontId="26" fillId="8" borderId="0" applyNumberFormat="0" applyBorder="0" applyAlignment="0" applyProtection="0"/>
    <xf numFmtId="0" fontId="26" fillId="14" borderId="0" applyNumberFormat="0" applyBorder="0" applyAlignment="0" applyProtection="0"/>
    <xf numFmtId="0" fontId="26" fillId="9" borderId="0" applyNumberFormat="0" applyBorder="0" applyAlignment="0" applyProtection="0"/>
    <xf numFmtId="0" fontId="26" fillId="15" borderId="0" applyNumberFormat="0" applyBorder="0" applyAlignment="0" applyProtection="0"/>
    <xf numFmtId="0" fontId="26" fillId="10" borderId="0" applyNumberFormat="0" applyBorder="0" applyAlignment="0" applyProtection="0"/>
    <xf numFmtId="0" fontId="26" fillId="16" borderId="0" applyNumberFormat="0" applyBorder="0" applyAlignment="0" applyProtection="0"/>
    <xf numFmtId="0" fontId="25" fillId="0" borderId="0"/>
    <xf numFmtId="0" fontId="24" fillId="0" borderId="0"/>
    <xf numFmtId="0" fontId="24" fillId="35" borderId="35" applyNumberFormat="0" applyFont="0" applyAlignment="0" applyProtection="0"/>
    <xf numFmtId="0" fontId="24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12" borderId="0" applyNumberFormat="0" applyBorder="0" applyAlignment="0" applyProtection="0"/>
    <xf numFmtId="0" fontId="24" fillId="7" borderId="0" applyNumberFormat="0" applyBorder="0" applyAlignment="0" applyProtection="0"/>
    <xf numFmtId="0" fontId="24" fillId="13" borderId="0" applyNumberFormat="0" applyBorder="0" applyAlignment="0" applyProtection="0"/>
    <xf numFmtId="0" fontId="24" fillId="8" borderId="0" applyNumberFormat="0" applyBorder="0" applyAlignment="0" applyProtection="0"/>
    <xf numFmtId="0" fontId="24" fillId="14" borderId="0" applyNumberFormat="0" applyBorder="0" applyAlignment="0" applyProtection="0"/>
    <xf numFmtId="0" fontId="24" fillId="9" borderId="0" applyNumberFormat="0" applyBorder="0" applyAlignment="0" applyProtection="0"/>
    <xf numFmtId="0" fontId="24" fillId="15" borderId="0" applyNumberFormat="0" applyBorder="0" applyAlignment="0" applyProtection="0"/>
    <xf numFmtId="0" fontId="24" fillId="10" borderId="0" applyNumberFormat="0" applyBorder="0" applyAlignment="0" applyProtection="0"/>
    <xf numFmtId="0" fontId="24" fillId="16" borderId="0" applyNumberFormat="0" applyBorder="0" applyAlignment="0" applyProtection="0"/>
    <xf numFmtId="0" fontId="23" fillId="0" borderId="0"/>
    <xf numFmtId="0" fontId="23" fillId="35" borderId="35" applyNumberFormat="0" applyFont="0" applyAlignment="0" applyProtection="0"/>
    <xf numFmtId="0" fontId="23" fillId="5" borderId="0" applyNumberFormat="0" applyBorder="0" applyAlignment="0" applyProtection="0"/>
    <xf numFmtId="0" fontId="23" fillId="11" borderId="0" applyNumberFormat="0" applyBorder="0" applyAlignment="0" applyProtection="0"/>
    <xf numFmtId="0" fontId="23" fillId="6" borderId="0" applyNumberFormat="0" applyBorder="0" applyAlignment="0" applyProtection="0"/>
    <xf numFmtId="0" fontId="23" fillId="12" borderId="0" applyNumberFormat="0" applyBorder="0" applyAlignment="0" applyProtection="0"/>
    <xf numFmtId="0" fontId="23" fillId="7" borderId="0" applyNumberFormat="0" applyBorder="0" applyAlignment="0" applyProtection="0"/>
    <xf numFmtId="0" fontId="23" fillId="13" borderId="0" applyNumberFormat="0" applyBorder="0" applyAlignment="0" applyProtection="0"/>
    <xf numFmtId="0" fontId="23" fillId="8" borderId="0" applyNumberFormat="0" applyBorder="0" applyAlignment="0" applyProtection="0"/>
    <xf numFmtId="0" fontId="23" fillId="14" borderId="0" applyNumberFormat="0" applyBorder="0" applyAlignment="0" applyProtection="0"/>
    <xf numFmtId="0" fontId="23" fillId="9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6" borderId="0" applyNumberFormat="0" applyBorder="0" applyAlignment="0" applyProtection="0"/>
    <xf numFmtId="0" fontId="22" fillId="0" borderId="0"/>
    <xf numFmtId="0" fontId="22" fillId="35" borderId="35" applyNumberFormat="0" applyFont="0" applyAlignment="0" applyProtection="0"/>
    <xf numFmtId="0" fontId="22" fillId="5" borderId="0" applyNumberFormat="0" applyBorder="0" applyAlignment="0" applyProtection="0"/>
    <xf numFmtId="0" fontId="22" fillId="11" borderId="0" applyNumberFormat="0" applyBorder="0" applyAlignment="0" applyProtection="0"/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7" borderId="0" applyNumberFormat="0" applyBorder="0" applyAlignment="0" applyProtection="0"/>
    <xf numFmtId="0" fontId="22" fillId="13" borderId="0" applyNumberFormat="0" applyBorder="0" applyAlignment="0" applyProtection="0"/>
    <xf numFmtId="0" fontId="22" fillId="8" borderId="0" applyNumberFormat="0" applyBorder="0" applyAlignment="0" applyProtection="0"/>
    <xf numFmtId="0" fontId="22" fillId="14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0" borderId="0" applyNumberFormat="0" applyBorder="0" applyAlignment="0" applyProtection="0"/>
    <xf numFmtId="0" fontId="22" fillId="16" borderId="0" applyNumberFormat="0" applyBorder="0" applyAlignment="0" applyProtection="0"/>
    <xf numFmtId="0" fontId="21" fillId="0" borderId="0"/>
    <xf numFmtId="0" fontId="21" fillId="35" borderId="35" applyNumberFormat="0" applyFont="0" applyAlignment="0" applyProtection="0"/>
    <xf numFmtId="0" fontId="21" fillId="5" borderId="0" applyNumberFormat="0" applyBorder="0" applyAlignment="0" applyProtection="0"/>
    <xf numFmtId="0" fontId="21" fillId="11" borderId="0" applyNumberFormat="0" applyBorder="0" applyAlignment="0" applyProtection="0"/>
    <xf numFmtId="0" fontId="21" fillId="6" borderId="0" applyNumberFormat="0" applyBorder="0" applyAlignment="0" applyProtection="0"/>
    <xf numFmtId="0" fontId="21" fillId="12" borderId="0" applyNumberFormat="0" applyBorder="0" applyAlignment="0" applyProtection="0"/>
    <xf numFmtId="0" fontId="21" fillId="7" borderId="0" applyNumberFormat="0" applyBorder="0" applyAlignment="0" applyProtection="0"/>
    <xf numFmtId="0" fontId="21" fillId="13" borderId="0" applyNumberFormat="0" applyBorder="0" applyAlignment="0" applyProtection="0"/>
    <xf numFmtId="0" fontId="21" fillId="8" borderId="0" applyNumberFormat="0" applyBorder="0" applyAlignment="0" applyProtection="0"/>
    <xf numFmtId="0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15" borderId="0" applyNumberFormat="0" applyBorder="0" applyAlignment="0" applyProtection="0"/>
    <xf numFmtId="0" fontId="21" fillId="10" borderId="0" applyNumberFormat="0" applyBorder="0" applyAlignment="0" applyProtection="0"/>
    <xf numFmtId="0" fontId="21" fillId="16" borderId="0" applyNumberFormat="0" applyBorder="0" applyAlignment="0" applyProtection="0"/>
    <xf numFmtId="0" fontId="20" fillId="0" borderId="0"/>
    <xf numFmtId="0" fontId="20" fillId="35" borderId="35" applyNumberFormat="0" applyFont="0" applyAlignment="0" applyProtection="0"/>
    <xf numFmtId="0" fontId="20" fillId="5" borderId="0" applyNumberFormat="0" applyBorder="0" applyAlignment="0" applyProtection="0"/>
    <xf numFmtId="0" fontId="20" fillId="11" borderId="0" applyNumberFormat="0" applyBorder="0" applyAlignment="0" applyProtection="0"/>
    <xf numFmtId="0" fontId="20" fillId="6" borderId="0" applyNumberFormat="0" applyBorder="0" applyAlignment="0" applyProtection="0"/>
    <xf numFmtId="0" fontId="20" fillId="12" borderId="0" applyNumberFormat="0" applyBorder="0" applyAlignment="0" applyProtection="0"/>
    <xf numFmtId="0" fontId="20" fillId="7" borderId="0" applyNumberFormat="0" applyBorder="0" applyAlignment="0" applyProtection="0"/>
    <xf numFmtId="0" fontId="20" fillId="13" borderId="0" applyNumberFormat="0" applyBorder="0" applyAlignment="0" applyProtection="0"/>
    <xf numFmtId="0" fontId="20" fillId="8" borderId="0" applyNumberFormat="0" applyBorder="0" applyAlignment="0" applyProtection="0"/>
    <xf numFmtId="0" fontId="20" fillId="14" borderId="0" applyNumberFormat="0" applyBorder="0" applyAlignment="0" applyProtection="0"/>
    <xf numFmtId="0" fontId="20" fillId="9" borderId="0" applyNumberFormat="0" applyBorder="0" applyAlignment="0" applyProtection="0"/>
    <xf numFmtId="0" fontId="20" fillId="15" borderId="0" applyNumberFormat="0" applyBorder="0" applyAlignment="0" applyProtection="0"/>
    <xf numFmtId="0" fontId="20" fillId="10" borderId="0" applyNumberFormat="0" applyBorder="0" applyAlignment="0" applyProtection="0"/>
    <xf numFmtId="0" fontId="20" fillId="16" borderId="0" applyNumberFormat="0" applyBorder="0" applyAlignment="0" applyProtection="0"/>
    <xf numFmtId="0" fontId="19" fillId="0" borderId="0"/>
    <xf numFmtId="0" fontId="19" fillId="35" borderId="35" applyNumberFormat="0" applyFont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12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8" borderId="0" applyNumberFormat="0" applyBorder="0" applyAlignment="0" applyProtection="0"/>
    <xf numFmtId="0" fontId="19" fillId="14" borderId="0" applyNumberFormat="0" applyBorder="0" applyAlignment="0" applyProtection="0"/>
    <xf numFmtId="0" fontId="19" fillId="9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6" borderId="0" applyNumberFormat="0" applyBorder="0" applyAlignment="0" applyProtection="0"/>
    <xf numFmtId="0" fontId="18" fillId="0" borderId="0"/>
    <xf numFmtId="0" fontId="18" fillId="35" borderId="35" applyNumberFormat="0" applyFont="0" applyAlignment="0" applyProtection="0"/>
    <xf numFmtId="0" fontId="18" fillId="5" borderId="0" applyNumberFormat="0" applyBorder="0" applyAlignment="0" applyProtection="0"/>
    <xf numFmtId="0" fontId="18" fillId="11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13" borderId="0" applyNumberFormat="0" applyBorder="0" applyAlignment="0" applyProtection="0"/>
    <xf numFmtId="0" fontId="18" fillId="8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6" borderId="0" applyNumberFormat="0" applyBorder="0" applyAlignment="0" applyProtection="0"/>
    <xf numFmtId="0" fontId="17" fillId="0" borderId="0"/>
    <xf numFmtId="0" fontId="17" fillId="35" borderId="35" applyNumberFormat="0" applyFont="0" applyAlignment="0" applyProtection="0"/>
    <xf numFmtId="0" fontId="17" fillId="5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12" borderId="0" applyNumberFormat="0" applyBorder="0" applyAlignment="0" applyProtection="0"/>
    <xf numFmtId="0" fontId="17" fillId="7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14" borderId="0" applyNumberFormat="0" applyBorder="0" applyAlignment="0" applyProtection="0"/>
    <xf numFmtId="0" fontId="17" fillId="9" borderId="0" applyNumberFormat="0" applyBorder="0" applyAlignment="0" applyProtection="0"/>
    <xf numFmtId="0" fontId="17" fillId="15" borderId="0" applyNumberFormat="0" applyBorder="0" applyAlignment="0" applyProtection="0"/>
    <xf numFmtId="0" fontId="17" fillId="10" borderId="0" applyNumberFormat="0" applyBorder="0" applyAlignment="0" applyProtection="0"/>
    <xf numFmtId="0" fontId="17" fillId="16" borderId="0" applyNumberFormat="0" applyBorder="0" applyAlignment="0" applyProtection="0"/>
    <xf numFmtId="0" fontId="16" fillId="0" borderId="0"/>
    <xf numFmtId="0" fontId="16" fillId="35" borderId="35" applyNumberFormat="0" applyFont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0" borderId="0" applyNumberFormat="0" applyBorder="0" applyAlignment="0" applyProtection="0"/>
    <xf numFmtId="0" fontId="16" fillId="16" borderId="0" applyNumberFormat="0" applyBorder="0" applyAlignment="0" applyProtection="0"/>
    <xf numFmtId="0" fontId="15" fillId="0" borderId="0"/>
    <xf numFmtId="0" fontId="15" fillId="35" borderId="35" applyNumberFormat="0" applyFont="0" applyAlignment="0" applyProtection="0"/>
    <xf numFmtId="0" fontId="15" fillId="5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12" borderId="0" applyNumberFormat="0" applyBorder="0" applyAlignment="0" applyProtection="0"/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15" fillId="8" borderId="0" applyNumberFormat="0" applyBorder="0" applyAlignment="0" applyProtection="0"/>
    <xf numFmtId="0" fontId="15" fillId="14" borderId="0" applyNumberFormat="0" applyBorder="0" applyAlignment="0" applyProtection="0"/>
    <xf numFmtId="0" fontId="15" fillId="9" borderId="0" applyNumberFormat="0" applyBorder="0" applyAlignment="0" applyProtection="0"/>
    <xf numFmtId="0" fontId="15" fillId="15" borderId="0" applyNumberFormat="0" applyBorder="0" applyAlignment="0" applyProtection="0"/>
    <xf numFmtId="0" fontId="15" fillId="10" borderId="0" applyNumberFormat="0" applyBorder="0" applyAlignment="0" applyProtection="0"/>
    <xf numFmtId="0" fontId="15" fillId="16" borderId="0" applyNumberFormat="0" applyBorder="0" applyAlignment="0" applyProtection="0"/>
    <xf numFmtId="0" fontId="14" fillId="0" borderId="0"/>
    <xf numFmtId="0" fontId="13" fillId="0" borderId="0"/>
    <xf numFmtId="0" fontId="13" fillId="35" borderId="35" applyNumberFormat="0" applyFont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9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6" borderId="0" applyNumberFormat="0" applyBorder="0" applyAlignment="0" applyProtection="0"/>
    <xf numFmtId="0" fontId="12" fillId="0" borderId="0"/>
    <xf numFmtId="0" fontId="12" fillId="35" borderId="35" applyNumberFormat="0" applyFont="0" applyAlignment="0" applyProtection="0"/>
    <xf numFmtId="0" fontId="12" fillId="5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4" borderId="0" applyNumberFormat="0" applyBorder="0" applyAlignment="0" applyProtection="0"/>
    <xf numFmtId="0" fontId="12" fillId="9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6" borderId="0" applyNumberFormat="0" applyBorder="0" applyAlignment="0" applyProtection="0"/>
    <xf numFmtId="0" fontId="11" fillId="0" borderId="0"/>
    <xf numFmtId="0" fontId="11" fillId="35" borderId="35" applyNumberFormat="0" applyFont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8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6" borderId="0" applyNumberFormat="0" applyBorder="0" applyAlignment="0" applyProtection="0"/>
    <xf numFmtId="0" fontId="10" fillId="0" borderId="0"/>
    <xf numFmtId="0" fontId="10" fillId="35" borderId="35" applyNumberFormat="0" applyFont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0" fontId="10" fillId="9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6" borderId="0" applyNumberFormat="0" applyBorder="0" applyAlignment="0" applyProtection="0"/>
    <xf numFmtId="0" fontId="9" fillId="0" borderId="0"/>
    <xf numFmtId="0" fontId="9" fillId="35" borderId="35" applyNumberFormat="0" applyFont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4" borderId="0" applyNumberFormat="0" applyBorder="0" applyAlignment="0" applyProtection="0"/>
    <xf numFmtId="0" fontId="9" fillId="9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9" fillId="16" borderId="0" applyNumberFormat="0" applyBorder="0" applyAlignment="0" applyProtection="0"/>
    <xf numFmtId="0" fontId="8" fillId="0" borderId="0"/>
    <xf numFmtId="0" fontId="8" fillId="35" borderId="35" applyNumberFormat="0" applyFont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14" borderId="0" applyNumberFormat="0" applyBorder="0" applyAlignment="0" applyProtection="0"/>
    <xf numFmtId="0" fontId="8" fillId="9" borderId="0" applyNumberFormat="0" applyBorder="0" applyAlignment="0" applyProtection="0"/>
    <xf numFmtId="0" fontId="8" fillId="15" borderId="0" applyNumberFormat="0" applyBorder="0" applyAlignment="0" applyProtection="0"/>
    <xf numFmtId="0" fontId="8" fillId="10" borderId="0" applyNumberFormat="0" applyBorder="0" applyAlignment="0" applyProtection="0"/>
    <xf numFmtId="0" fontId="8" fillId="16" borderId="0" applyNumberFormat="0" applyBorder="0" applyAlignment="0" applyProtection="0"/>
    <xf numFmtId="0" fontId="7" fillId="0" borderId="0"/>
    <xf numFmtId="0" fontId="7" fillId="35" borderId="35" applyNumberFormat="0" applyFont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12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0" borderId="0" applyNumberFormat="0" applyBorder="0" applyAlignment="0" applyProtection="0"/>
    <xf numFmtId="0" fontId="7" fillId="16" borderId="0" applyNumberFormat="0" applyBorder="0" applyAlignment="0" applyProtection="0"/>
    <xf numFmtId="0" fontId="6" fillId="0" borderId="0"/>
    <xf numFmtId="0" fontId="6" fillId="0" borderId="0"/>
    <xf numFmtId="0" fontId="4" fillId="0" borderId="0"/>
    <xf numFmtId="0" fontId="4" fillId="35" borderId="35" applyNumberFormat="0" applyFont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41" fontId="69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5" borderId="35" applyNumberFormat="0" applyFont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2" fillId="35" borderId="35" applyNumberFormat="0" applyFont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2" fillId="0" borderId="0"/>
    <xf numFmtId="0" fontId="2" fillId="0" borderId="0"/>
    <xf numFmtId="0" fontId="156" fillId="0" borderId="0" applyBorder="0"/>
    <xf numFmtId="0" fontId="2" fillId="0" borderId="0"/>
    <xf numFmtId="0" fontId="1" fillId="0" borderId="0"/>
    <xf numFmtId="0" fontId="181" fillId="34" borderId="0" applyNumberFormat="0" applyBorder="0" applyAlignment="0" applyProtection="0"/>
    <xf numFmtId="0" fontId="1" fillId="35" borderId="35" applyNumberFormat="0" applyFont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1" fillId="21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1" fillId="22" borderId="0" applyNumberFormat="0" applyBorder="0" applyAlignment="0" applyProtection="0"/>
  </cellStyleXfs>
  <cellXfs count="781">
    <xf numFmtId="0" fontId="0" fillId="0" borderId="0" xfId="0"/>
    <xf numFmtId="2" fontId="55" fillId="36" borderId="2" xfId="0" applyNumberFormat="1" applyFont="1" applyFill="1" applyBorder="1" applyAlignment="1">
      <alignment horizontal="center" wrapText="1"/>
    </xf>
    <xf numFmtId="2" fontId="91" fillId="45" borderId="2" xfId="0" applyNumberFormat="1" applyFont="1" applyFill="1" applyBorder="1" applyAlignment="1">
      <alignment horizontal="center" vertical="center" wrapText="1"/>
    </xf>
    <xf numFmtId="2" fontId="55" fillId="44" borderId="2" xfId="0" applyNumberFormat="1" applyFont="1" applyFill="1" applyBorder="1" applyAlignment="1">
      <alignment horizontal="center" wrapText="1"/>
    </xf>
    <xf numFmtId="2" fontId="92" fillId="45" borderId="2" xfId="0" applyNumberFormat="1" applyFont="1" applyFill="1" applyBorder="1" applyAlignment="1">
      <alignment horizontal="center" vertical="center" wrapText="1"/>
    </xf>
    <xf numFmtId="2" fontId="93" fillId="49" borderId="2" xfId="0" applyNumberFormat="1" applyFont="1" applyFill="1" applyBorder="1" applyAlignment="1">
      <alignment horizontal="center" vertical="center" wrapText="1"/>
    </xf>
    <xf numFmtId="2" fontId="55" fillId="49" borderId="2" xfId="0" applyNumberFormat="1" applyFont="1" applyFill="1" applyBorder="1" applyAlignment="1">
      <alignment horizontal="center" wrapText="1"/>
    </xf>
    <xf numFmtId="1" fontId="63" fillId="2" borderId="2" xfId="0" applyNumberFormat="1" applyFont="1" applyFill="1" applyBorder="1" applyAlignment="1">
      <alignment horizontal="center"/>
    </xf>
    <xf numFmtId="0" fontId="95" fillId="54" borderId="2" xfId="0" applyFont="1" applyFill="1" applyBorder="1" applyAlignment="1">
      <alignment horizontal="center" vertical="center" wrapText="1"/>
    </xf>
    <xf numFmtId="2" fontId="96" fillId="45" borderId="2" xfId="0" applyNumberFormat="1" applyFont="1" applyFill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 wrapText="1"/>
    </xf>
    <xf numFmtId="1" fontId="63" fillId="2" borderId="2" xfId="0" applyNumberFormat="1" applyFont="1" applyFill="1" applyBorder="1"/>
    <xf numFmtId="0" fontId="98" fillId="0" borderId="2" xfId="0" applyFont="1" applyBorder="1" applyAlignment="1">
      <alignment horizontal="center"/>
    </xf>
    <xf numFmtId="2" fontId="91" fillId="56" borderId="2" xfId="0" applyNumberFormat="1" applyFont="1" applyFill="1" applyBorder="1" applyAlignment="1">
      <alignment horizontal="center" vertical="center" wrapText="1"/>
    </xf>
    <xf numFmtId="2" fontId="91" fillId="60" borderId="2" xfId="0" applyNumberFormat="1" applyFont="1" applyFill="1" applyBorder="1" applyAlignment="1">
      <alignment horizontal="center" vertical="center" wrapText="1"/>
    </xf>
    <xf numFmtId="2" fontId="55" fillId="65" borderId="2" xfId="0" applyNumberFormat="1" applyFont="1" applyFill="1" applyBorder="1" applyAlignment="1">
      <alignment horizontal="center" wrapText="1"/>
    </xf>
    <xf numFmtId="2" fontId="55" fillId="64" borderId="2" xfId="0" applyNumberFormat="1" applyFont="1" applyFill="1" applyBorder="1" applyAlignment="1">
      <alignment horizontal="center" wrapText="1"/>
    </xf>
    <xf numFmtId="1" fontId="63" fillId="53" borderId="2" xfId="0" applyNumberFormat="1" applyFont="1" applyFill="1" applyBorder="1" applyAlignment="1">
      <alignment horizontal="center"/>
    </xf>
    <xf numFmtId="2" fontId="55" fillId="56" borderId="2" xfId="0" applyNumberFormat="1" applyFont="1" applyFill="1" applyBorder="1" applyAlignment="1">
      <alignment horizontal="center" wrapText="1"/>
    </xf>
    <xf numFmtId="2" fontId="110" fillId="56" borderId="2" xfId="0" applyNumberFormat="1" applyFont="1" applyFill="1" applyBorder="1" applyAlignment="1">
      <alignment horizontal="center" vertical="center" wrapText="1"/>
    </xf>
    <xf numFmtId="1" fontId="55" fillId="36" borderId="2" xfId="0" applyNumberFormat="1" applyFont="1" applyFill="1" applyBorder="1" applyAlignment="1">
      <alignment horizontal="center" wrapText="1"/>
    </xf>
    <xf numFmtId="1" fontId="91" fillId="45" borderId="2" xfId="0" applyNumberFormat="1" applyFont="1" applyFill="1" applyBorder="1" applyAlignment="1">
      <alignment horizontal="center" vertical="center" wrapText="1"/>
    </xf>
    <xf numFmtId="166" fontId="55" fillId="36" borderId="2" xfId="0" applyNumberFormat="1" applyFont="1" applyFill="1" applyBorder="1" applyAlignment="1">
      <alignment horizontal="center" wrapText="1"/>
    </xf>
    <xf numFmtId="166" fontId="91" fillId="45" borderId="2" xfId="0" applyNumberFormat="1" applyFont="1" applyFill="1" applyBorder="1" applyAlignment="1">
      <alignment horizontal="center" vertical="center" wrapText="1"/>
    </xf>
    <xf numFmtId="2" fontId="117" fillId="50" borderId="2" xfId="0" applyNumberFormat="1" applyFont="1" applyFill="1" applyBorder="1" applyAlignment="1">
      <alignment horizontal="center" vertical="center" wrapText="1"/>
    </xf>
    <xf numFmtId="2" fontId="60" fillId="0" borderId="2" xfId="1" applyNumberFormat="1" applyFont="1" applyFill="1" applyBorder="1" applyAlignment="1">
      <alignment horizontal="center" vertical="center"/>
    </xf>
    <xf numFmtId="0" fontId="109" fillId="0" borderId="0" xfId="0" applyFont="1" applyAlignment="1">
      <alignment vertical="center"/>
    </xf>
    <xf numFmtId="1" fontId="55" fillId="41" borderId="2" xfId="0" applyNumberFormat="1" applyFont="1" applyFill="1" applyBorder="1" applyAlignment="1">
      <alignment horizontal="center" wrapText="1"/>
    </xf>
    <xf numFmtId="1" fontId="118" fillId="2" borderId="2" xfId="0" applyNumberFormat="1" applyFont="1" applyFill="1" applyBorder="1" applyAlignment="1">
      <alignment horizontal="center"/>
    </xf>
    <xf numFmtId="0" fontId="98" fillId="0" borderId="0" xfId="0" applyFont="1" applyAlignment="1">
      <alignment horizontal="center"/>
    </xf>
    <xf numFmtId="0" fontId="122" fillId="37" borderId="0" xfId="0" applyFont="1" applyFill="1" applyAlignment="1">
      <alignment horizontal="center"/>
    </xf>
    <xf numFmtId="0" fontId="122" fillId="37" borderId="0" xfId="0" applyFont="1" applyFill="1" applyAlignment="1">
      <alignment horizontal="right"/>
    </xf>
    <xf numFmtId="168" fontId="113" fillId="70" borderId="6" xfId="0" applyNumberFormat="1" applyFont="1" applyFill="1" applyBorder="1" applyAlignment="1">
      <alignment horizontal="center" vertical="top" wrapText="1"/>
    </xf>
    <xf numFmtId="168" fontId="113" fillId="70" borderId="2" xfId="0" applyNumberFormat="1" applyFont="1" applyFill="1" applyBorder="1" applyAlignment="1">
      <alignment horizontal="center" vertical="top" wrapText="1"/>
    </xf>
    <xf numFmtId="14" fontId="113" fillId="70" borderId="2" xfId="0" applyNumberFormat="1" applyFont="1" applyFill="1" applyBorder="1" applyAlignment="1">
      <alignment horizontal="center" vertical="top" wrapText="1"/>
    </xf>
    <xf numFmtId="0" fontId="89" fillId="70" borderId="2" xfId="0" applyFont="1" applyFill="1" applyBorder="1" applyAlignment="1">
      <alignment horizontal="center" vertical="top" wrapText="1"/>
    </xf>
    <xf numFmtId="0" fontId="89" fillId="70" borderId="2" xfId="0" applyFont="1" applyFill="1" applyBorder="1" applyAlignment="1">
      <alignment horizontal="left" vertical="top" wrapText="1"/>
    </xf>
    <xf numFmtId="0" fontId="100" fillId="0" borderId="0" xfId="0" applyFont="1"/>
    <xf numFmtId="0" fontId="127" fillId="37" borderId="0" xfId="0" applyFont="1" applyFill="1" applyAlignment="1">
      <alignment horizontal="left"/>
    </xf>
    <xf numFmtId="0" fontId="113" fillId="70" borderId="2" xfId="0" applyFont="1" applyFill="1" applyBorder="1" applyAlignment="1">
      <alignment horizontal="left" vertical="top" wrapText="1"/>
    </xf>
    <xf numFmtId="0" fontId="58" fillId="57" borderId="2" xfId="0" applyFont="1" applyFill="1" applyBorder="1" applyAlignment="1">
      <alignment horizontal="center" vertical="center" wrapText="1"/>
    </xf>
    <xf numFmtId="176" fontId="132" fillId="0" borderId="2" xfId="32" applyNumberFormat="1" applyFont="1" applyFill="1" applyBorder="1" applyAlignment="1">
      <alignment horizontal="center" vertical="center"/>
    </xf>
    <xf numFmtId="0" fontId="0" fillId="0" borderId="2" xfId="0" applyBorder="1"/>
    <xf numFmtId="0" fontId="103" fillId="0" borderId="11" xfId="1" applyFont="1" applyFill="1" applyBorder="1" applyAlignment="1">
      <alignment horizontal="center" vertical="center" wrapText="1"/>
    </xf>
    <xf numFmtId="0" fontId="57" fillId="57" borderId="2" xfId="0" applyFont="1" applyFill="1" applyBorder="1" applyAlignment="1">
      <alignment horizontal="center" vertical="center" wrapText="1"/>
    </xf>
    <xf numFmtId="0" fontId="137" fillId="37" borderId="0" xfId="0" applyFont="1" applyFill="1" applyAlignment="1">
      <alignment horizontal="right"/>
    </xf>
    <xf numFmtId="0" fontId="100" fillId="37" borderId="0" xfId="0" applyFont="1" applyFill="1" applyAlignment="1">
      <alignment horizontal="center" vertical="top" wrapText="1"/>
    </xf>
    <xf numFmtId="164" fontId="106" fillId="57" borderId="2" xfId="0" applyNumberFormat="1" applyFont="1" applyFill="1" applyBorder="1" applyAlignment="1">
      <alignment horizontal="left" vertical="center"/>
    </xf>
    <xf numFmtId="0" fontId="106" fillId="57" borderId="2" xfId="0" applyFont="1" applyFill="1" applyBorder="1" applyAlignment="1">
      <alignment horizontal="center" vertical="center"/>
    </xf>
    <xf numFmtId="0" fontId="113" fillId="69" borderId="2" xfId="0" applyFont="1" applyFill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/>
    </xf>
    <xf numFmtId="1" fontId="63" fillId="2" borderId="2" xfId="0" applyNumberFormat="1" applyFont="1" applyFill="1" applyBorder="1" applyAlignment="1">
      <alignment horizontal="left"/>
    </xf>
    <xf numFmtId="164" fontId="118" fillId="2" borderId="2" xfId="0" applyNumberFormat="1" applyFont="1" applyFill="1" applyBorder="1" applyAlignment="1">
      <alignment horizontal="center"/>
    </xf>
    <xf numFmtId="164" fontId="63" fillId="2" borderId="2" xfId="0" applyNumberFormat="1" applyFont="1" applyFill="1" applyBorder="1" applyAlignment="1">
      <alignment horizontal="center"/>
    </xf>
    <xf numFmtId="166" fontId="63" fillId="2" borderId="2" xfId="0" applyNumberFormat="1" applyFont="1" applyFill="1" applyBorder="1" applyAlignment="1">
      <alignment horizontal="center"/>
    </xf>
    <xf numFmtId="1" fontId="55" fillId="36" borderId="2" xfId="0" applyNumberFormat="1" applyFont="1" applyFill="1" applyBorder="1" applyAlignment="1">
      <alignment horizontal="left" wrapText="1"/>
    </xf>
    <xf numFmtId="1" fontId="90" fillId="41" borderId="2" xfId="0" applyNumberFormat="1" applyFont="1" applyFill="1" applyBorder="1" applyAlignment="1">
      <alignment horizontal="left" vertical="center"/>
    </xf>
    <xf numFmtId="2" fontId="55" fillId="41" borderId="2" xfId="0" applyNumberFormat="1" applyFont="1" applyFill="1" applyBorder="1" applyAlignment="1">
      <alignment horizontal="center" wrapText="1"/>
    </xf>
    <xf numFmtId="2" fontId="55" fillId="41" borderId="2" xfId="0" applyNumberFormat="1" applyFont="1" applyFill="1" applyBorder="1" applyAlignment="1">
      <alignment horizontal="left" wrapText="1"/>
    </xf>
    <xf numFmtId="2" fontId="55" fillId="43" borderId="2" xfId="0" applyNumberFormat="1" applyFont="1" applyFill="1" applyBorder="1" applyAlignment="1">
      <alignment wrapText="1"/>
    </xf>
    <xf numFmtId="2" fontId="55" fillId="43" borderId="2" xfId="0" applyNumberFormat="1" applyFont="1" applyFill="1" applyBorder="1" applyAlignment="1">
      <alignment horizontal="center" wrapText="1"/>
    </xf>
    <xf numFmtId="2" fontId="55" fillId="43" borderId="2" xfId="0" applyNumberFormat="1" applyFont="1" applyFill="1" applyBorder="1" applyAlignment="1">
      <alignment horizontal="left" wrapText="1"/>
    </xf>
    <xf numFmtId="2" fontId="90" fillId="36" borderId="2" xfId="0" applyNumberFormat="1" applyFont="1" applyFill="1" applyBorder="1" applyAlignment="1">
      <alignment horizontal="left" vertical="center"/>
    </xf>
    <xf numFmtId="1" fontId="65" fillId="36" borderId="2" xfId="0" applyNumberFormat="1" applyFont="1" applyFill="1" applyBorder="1" applyAlignment="1">
      <alignment horizontal="center" wrapText="1"/>
    </xf>
    <xf numFmtId="2" fontId="55" fillId="36" borderId="2" xfId="0" applyNumberFormat="1" applyFont="1" applyFill="1" applyBorder="1" applyAlignment="1">
      <alignment horizontal="left" wrapText="1"/>
    </xf>
    <xf numFmtId="1" fontId="55" fillId="40" borderId="2" xfId="0" applyNumberFormat="1" applyFont="1" applyFill="1" applyBorder="1" applyAlignment="1">
      <alignment horizontal="center" wrapText="1"/>
    </xf>
    <xf numFmtId="1" fontId="90" fillId="40" borderId="2" xfId="0" applyNumberFormat="1" applyFont="1" applyFill="1" applyBorder="1" applyAlignment="1">
      <alignment horizontal="left" vertical="center"/>
    </xf>
    <xf numFmtId="2" fontId="63" fillId="40" borderId="2" xfId="0" applyNumberFormat="1" applyFont="1" applyFill="1" applyBorder="1" applyAlignment="1">
      <alignment horizontal="center" wrapText="1"/>
    </xf>
    <xf numFmtId="1" fontId="65" fillId="40" borderId="2" xfId="0" applyNumberFormat="1" applyFont="1" applyFill="1" applyBorder="1" applyAlignment="1">
      <alignment horizontal="center" wrapText="1"/>
    </xf>
    <xf numFmtId="164" fontId="90" fillId="40" borderId="2" xfId="0" applyNumberFormat="1" applyFont="1" applyFill="1" applyBorder="1" applyAlignment="1">
      <alignment horizontal="left" vertical="center"/>
    </xf>
    <xf numFmtId="2" fontId="55" fillId="40" borderId="2" xfId="0" applyNumberFormat="1" applyFont="1" applyFill="1" applyBorder="1" applyAlignment="1">
      <alignment horizontal="center" wrapText="1"/>
    </xf>
    <xf numFmtId="2" fontId="90" fillId="40" borderId="2" xfId="0" applyNumberFormat="1" applyFont="1" applyFill="1" applyBorder="1" applyAlignment="1">
      <alignment horizontal="left" vertical="center"/>
    </xf>
    <xf numFmtId="2" fontId="55" fillId="38" borderId="2" xfId="0" applyNumberFormat="1" applyFont="1" applyFill="1" applyBorder="1" applyAlignment="1">
      <alignment horizontal="center" wrapText="1"/>
    </xf>
    <xf numFmtId="2" fontId="90" fillId="46" borderId="2" xfId="0" applyNumberFormat="1" applyFont="1" applyFill="1" applyBorder="1" applyAlignment="1">
      <alignment horizontal="left" vertical="center"/>
    </xf>
    <xf numFmtId="2" fontId="55" fillId="46" borderId="2" xfId="0" applyNumberFormat="1" applyFont="1" applyFill="1" applyBorder="1" applyAlignment="1">
      <alignment horizontal="center" vertical="center" wrapText="1"/>
    </xf>
    <xf numFmtId="2" fontId="90" fillId="39" borderId="2" xfId="0" applyNumberFormat="1" applyFont="1" applyFill="1" applyBorder="1" applyAlignment="1">
      <alignment horizontal="left" vertical="center"/>
    </xf>
    <xf numFmtId="2" fontId="55" fillId="39" borderId="2" xfId="0" applyNumberFormat="1" applyFont="1" applyFill="1" applyBorder="1" applyAlignment="1">
      <alignment horizontal="center" wrapText="1"/>
    </xf>
    <xf numFmtId="2" fontId="55" fillId="50" borderId="2" xfId="0" applyNumberFormat="1" applyFont="1" applyFill="1" applyBorder="1" applyAlignment="1">
      <alignment horizontal="center" wrapText="1"/>
    </xf>
    <xf numFmtId="2" fontId="90" fillId="42" borderId="2" xfId="0" applyNumberFormat="1" applyFont="1" applyFill="1" applyBorder="1" applyAlignment="1">
      <alignment horizontal="center" vertical="center"/>
    </xf>
    <xf numFmtId="2" fontId="55" fillId="42" borderId="2" xfId="0" applyNumberFormat="1" applyFont="1" applyFill="1" applyBorder="1" applyAlignment="1">
      <alignment horizontal="center" wrapText="1"/>
    </xf>
    <xf numFmtId="2" fontId="65" fillId="42" borderId="2" xfId="0" applyNumberFormat="1" applyFont="1" applyFill="1" applyBorder="1" applyAlignment="1">
      <alignment horizontal="center" wrapText="1"/>
    </xf>
    <xf numFmtId="1" fontId="90" fillId="43" borderId="2" xfId="0" applyNumberFormat="1" applyFont="1" applyFill="1" applyBorder="1" applyAlignment="1">
      <alignment horizontal="center" vertical="center" wrapText="1"/>
    </xf>
    <xf numFmtId="164" fontId="55" fillId="43" borderId="2" xfId="0" applyNumberFormat="1" applyFont="1" applyFill="1" applyBorder="1" applyAlignment="1">
      <alignment horizontal="center" wrapText="1"/>
    </xf>
    <xf numFmtId="2" fontId="90" fillId="43" borderId="2" xfId="0" applyNumberFormat="1" applyFont="1" applyFill="1" applyBorder="1" applyAlignment="1">
      <alignment horizontal="center" vertical="center" wrapText="1"/>
    </xf>
    <xf numFmtId="2" fontId="90" fillId="44" borderId="2" xfId="0" applyNumberFormat="1" applyFont="1" applyFill="1" applyBorder="1" applyAlignment="1">
      <alignment horizontal="center" vertical="center" wrapText="1"/>
    </xf>
    <xf numFmtId="1" fontId="97" fillId="45" borderId="2" xfId="0" applyNumberFormat="1" applyFont="1" applyFill="1" applyBorder="1" applyAlignment="1">
      <alignment horizontal="center" vertical="center" wrapText="1"/>
    </xf>
    <xf numFmtId="2" fontId="55" fillId="45" borderId="2" xfId="0" applyNumberFormat="1" applyFont="1" applyFill="1" applyBorder="1" applyAlignment="1">
      <alignment horizontal="center" vertical="center" wrapText="1"/>
    </xf>
    <xf numFmtId="2" fontId="91" fillId="45" borderId="2" xfId="0" applyNumberFormat="1" applyFont="1" applyFill="1" applyBorder="1" applyAlignment="1">
      <alignment horizontal="left" vertical="center" wrapText="1"/>
    </xf>
    <xf numFmtId="2" fontId="55" fillId="45" borderId="2" xfId="0" applyNumberFormat="1" applyFont="1" applyFill="1" applyBorder="1" applyAlignment="1">
      <alignment vertical="center" wrapText="1"/>
    </xf>
    <xf numFmtId="1" fontId="92" fillId="45" borderId="2" xfId="0" applyNumberFormat="1" applyFont="1" applyFill="1" applyBorder="1" applyAlignment="1">
      <alignment horizontal="center" vertical="center" wrapText="1"/>
    </xf>
    <xf numFmtId="2" fontId="94" fillId="45" borderId="2" xfId="0" applyNumberFormat="1" applyFont="1" applyFill="1" applyBorder="1" applyAlignment="1">
      <alignment horizontal="center" vertical="center" wrapText="1"/>
    </xf>
    <xf numFmtId="164" fontId="92" fillId="45" borderId="2" xfId="0" applyNumberFormat="1" applyFont="1" applyFill="1" applyBorder="1" applyAlignment="1">
      <alignment horizontal="center" vertical="center" wrapText="1"/>
    </xf>
    <xf numFmtId="1" fontId="92" fillId="56" borderId="2" xfId="0" applyNumberFormat="1" applyFont="1" applyFill="1" applyBorder="1" applyAlignment="1">
      <alignment horizontal="center" vertical="center" wrapText="1"/>
    </xf>
    <xf numFmtId="164" fontId="91" fillId="45" borderId="2" xfId="0" applyNumberFormat="1" applyFont="1" applyFill="1" applyBorder="1" applyAlignment="1">
      <alignment horizontal="center" vertical="center" wrapText="1"/>
    </xf>
    <xf numFmtId="2" fontId="138" fillId="51" borderId="2" xfId="0" applyNumberFormat="1" applyFont="1" applyFill="1" applyBorder="1" applyAlignment="1">
      <alignment horizontal="left" vertical="center" wrapText="1"/>
    </xf>
    <xf numFmtId="0" fontId="140" fillId="0" borderId="12" xfId="1" applyFont="1" applyFill="1" applyBorder="1" applyAlignment="1">
      <alignment horizontal="center" vertical="center" wrapText="1"/>
    </xf>
    <xf numFmtId="0" fontId="109" fillId="57" borderId="19" xfId="41" applyNumberFormat="1" applyFont="1" applyFill="1" applyBorder="1" applyAlignment="1">
      <alignment horizontal="center"/>
    </xf>
    <xf numFmtId="1" fontId="103" fillId="0" borderId="11" xfId="1" applyNumberFormat="1" applyFont="1" applyFill="1" applyBorder="1" applyAlignment="1">
      <alignment horizontal="center" vertical="center" wrapText="1"/>
    </xf>
    <xf numFmtId="0" fontId="103" fillId="0" borderId="13" xfId="1" applyFont="1" applyFill="1" applyBorder="1" applyAlignment="1">
      <alignment horizontal="center" vertical="center" wrapText="1"/>
    </xf>
    <xf numFmtId="168" fontId="109" fillId="37" borderId="17" xfId="1" applyNumberFormat="1" applyFont="1" applyFill="1" applyBorder="1" applyAlignment="1">
      <alignment horizontal="left" vertical="center" wrapText="1"/>
    </xf>
    <xf numFmtId="165" fontId="109" fillId="37" borderId="17" xfId="1" applyNumberFormat="1" applyFont="1" applyFill="1" applyBorder="1" applyAlignment="1">
      <alignment horizontal="center" vertical="center" wrapText="1"/>
    </xf>
    <xf numFmtId="0" fontId="98" fillId="0" borderId="2" xfId="0" applyFont="1" applyBorder="1" applyAlignment="1">
      <alignment horizontal="left"/>
    </xf>
    <xf numFmtId="0" fontId="98" fillId="0" borderId="2" xfId="0" applyFont="1" applyBorder="1"/>
    <xf numFmtId="180" fontId="98" fillId="0" borderId="2" xfId="0" applyNumberFormat="1" applyFont="1" applyBorder="1"/>
    <xf numFmtId="0" fontId="53" fillId="0" borderId="2" xfId="0" applyFont="1" applyBorder="1" applyAlignment="1">
      <alignment horizontal="right"/>
    </xf>
    <xf numFmtId="0" fontId="89" fillId="0" borderId="2" xfId="0" applyFont="1" applyBorder="1" applyAlignment="1">
      <alignment horizontal="left"/>
    </xf>
    <xf numFmtId="15" fontId="99" fillId="0" borderId="0" xfId="0" applyNumberFormat="1" applyFont="1"/>
    <xf numFmtId="165" fontId="98" fillId="0" borderId="0" xfId="0" applyNumberFormat="1" applyFont="1"/>
    <xf numFmtId="0" fontId="98" fillId="0" borderId="0" xfId="0" applyFont="1"/>
    <xf numFmtId="2" fontId="128" fillId="0" borderId="2" xfId="0" applyNumberFormat="1" applyFont="1" applyBorder="1" applyAlignment="1">
      <alignment horizontal="left"/>
    </xf>
    <xf numFmtId="2" fontId="55" fillId="0" borderId="2" xfId="0" applyNumberFormat="1" applyFont="1" applyBorder="1" applyAlignment="1">
      <alignment horizontal="center" wrapText="1"/>
    </xf>
    <xf numFmtId="2" fontId="107" fillId="0" borderId="2" xfId="0" applyNumberFormat="1" applyFont="1" applyBorder="1" applyAlignment="1">
      <alignment horizontal="left" vertical="center"/>
    </xf>
    <xf numFmtId="2" fontId="90" fillId="0" borderId="2" xfId="0" applyNumberFormat="1" applyFont="1" applyBorder="1" applyAlignment="1">
      <alignment horizontal="left" vertical="center"/>
    </xf>
    <xf numFmtId="2" fontId="91" fillId="0" borderId="2" xfId="0" applyNumberFormat="1" applyFont="1" applyBorder="1" applyAlignment="1">
      <alignment horizontal="center" vertical="center" wrapText="1"/>
    </xf>
    <xf numFmtId="2" fontId="92" fillId="0" borderId="2" xfId="0" applyNumberFormat="1" applyFont="1" applyBorder="1" applyAlignment="1">
      <alignment horizontal="center" vertical="center" wrapText="1"/>
    </xf>
    <xf numFmtId="2" fontId="90" fillId="0" borderId="2" xfId="0" applyNumberFormat="1" applyFont="1" applyBorder="1" applyAlignment="1">
      <alignment horizontal="center" vertical="center" wrapText="1"/>
    </xf>
    <xf numFmtId="2" fontId="97" fillId="0" borderId="2" xfId="0" applyNumberFormat="1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left" wrapText="1"/>
    </xf>
    <xf numFmtId="1" fontId="91" fillId="0" borderId="2" xfId="0" applyNumberFormat="1" applyFont="1" applyBorder="1" applyAlignment="1">
      <alignment horizontal="center" vertical="center" wrapText="1"/>
    </xf>
    <xf numFmtId="2" fontId="91" fillId="0" borderId="2" xfId="0" applyNumberFormat="1" applyFont="1" applyBorder="1" applyAlignment="1">
      <alignment horizontal="left" vertical="center" wrapText="1"/>
    </xf>
    <xf numFmtId="2" fontId="92" fillId="0" borderId="2" xfId="0" applyNumberFormat="1" applyFont="1" applyBorder="1" applyAlignment="1">
      <alignment horizontal="left" vertical="center" wrapText="1"/>
    </xf>
    <xf numFmtId="1" fontId="98" fillId="0" borderId="2" xfId="0" applyNumberFormat="1" applyFont="1" applyBorder="1" applyAlignment="1">
      <alignment horizontal="center"/>
    </xf>
    <xf numFmtId="0" fontId="61" fillId="0" borderId="0" xfId="0" applyFont="1"/>
    <xf numFmtId="0" fontId="129" fillId="0" borderId="0" xfId="0" applyFont="1" applyAlignment="1">
      <alignment horizontal="left" vertical="center"/>
    </xf>
    <xf numFmtId="0" fontId="130" fillId="0" borderId="0" xfId="0" applyFont="1" applyAlignment="1">
      <alignment horizontal="left" vertical="center"/>
    </xf>
    <xf numFmtId="16" fontId="60" fillId="0" borderId="0" xfId="0" applyNumberFormat="1" applyFont="1" applyAlignment="1">
      <alignment horizontal="left"/>
    </xf>
    <xf numFmtId="0" fontId="57" fillId="0" borderId="2" xfId="0" applyFont="1" applyBorder="1" applyAlignment="1">
      <alignment vertical="center" wrapText="1"/>
    </xf>
    <xf numFmtId="0" fontId="57" fillId="0" borderId="2" xfId="0" applyFont="1" applyBorder="1" applyAlignment="1">
      <alignment horizontal="center" vertical="center" wrapText="1"/>
    </xf>
    <xf numFmtId="0" fontId="57" fillId="0" borderId="0" xfId="0" applyFont="1" applyAlignment="1">
      <alignment vertical="center" wrapText="1"/>
    </xf>
    <xf numFmtId="0" fontId="59" fillId="0" borderId="0" xfId="0" applyFont="1"/>
    <xf numFmtId="0" fontId="5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60" fillId="0" borderId="2" xfId="0" applyFont="1" applyBorder="1" applyAlignment="1">
      <alignment horizontal="left" vertical="center"/>
    </xf>
    <xf numFmtId="2" fontId="55" fillId="0" borderId="0" xfId="0" applyNumberFormat="1" applyFont="1" applyAlignment="1">
      <alignment horizontal="left"/>
    </xf>
    <xf numFmtId="0" fontId="64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2" xfId="0" applyFont="1" applyBorder="1" applyAlignment="1">
      <alignment horizontal="left" vertical="center"/>
    </xf>
    <xf numFmtId="164" fontId="134" fillId="0" borderId="2" xfId="0" applyNumberFormat="1" applyFont="1" applyBorder="1" applyAlignment="1">
      <alignment horizontal="left" vertical="center"/>
    </xf>
    <xf numFmtId="164" fontId="58" fillId="0" borderId="2" xfId="0" applyNumberFormat="1" applyFont="1" applyBorder="1" applyAlignment="1">
      <alignment horizontal="left" vertical="center"/>
    </xf>
    <xf numFmtId="164" fontId="57" fillId="0" borderId="2" xfId="0" applyNumberFormat="1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102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 wrapText="1"/>
    </xf>
    <xf numFmtId="2" fontId="55" fillId="0" borderId="0" xfId="0" applyNumberFormat="1" applyFont="1" applyAlignment="1">
      <alignment horizontal="center"/>
    </xf>
    <xf numFmtId="1" fontId="142" fillId="50" borderId="2" xfId="0" applyNumberFormat="1" applyFont="1" applyFill="1" applyBorder="1" applyAlignment="1">
      <alignment horizontal="left"/>
    </xf>
    <xf numFmtId="1" fontId="63" fillId="2" borderId="2" xfId="0" applyNumberFormat="1" applyFont="1" applyFill="1" applyBorder="1" applyAlignment="1">
      <alignment horizontal="center" vertical="center"/>
    </xf>
    <xf numFmtId="2" fontId="90" fillId="43" borderId="2" xfId="0" applyNumberFormat="1" applyFont="1" applyFill="1" applyBorder="1" applyAlignment="1">
      <alignment horizontal="center" vertical="center"/>
    </xf>
    <xf numFmtId="1" fontId="98" fillId="0" borderId="2" xfId="0" applyNumberFormat="1" applyFont="1" applyBorder="1" applyAlignment="1">
      <alignment horizontal="center" vertical="center"/>
    </xf>
    <xf numFmtId="1" fontId="98" fillId="0" borderId="2" xfId="0" applyNumberFormat="1" applyFont="1" applyBorder="1" applyAlignment="1">
      <alignment horizontal="center" vertical="center" wrapText="1"/>
    </xf>
    <xf numFmtId="1" fontId="98" fillId="69" borderId="2" xfId="0" applyNumberFormat="1" applyFont="1" applyFill="1" applyBorder="1" applyAlignment="1">
      <alignment horizontal="center" vertical="center" wrapText="1"/>
    </xf>
    <xf numFmtId="0" fontId="54" fillId="45" borderId="0" xfId="0" applyFont="1" applyFill="1" applyAlignment="1">
      <alignment horizontal="center"/>
    </xf>
    <xf numFmtId="0" fontId="54" fillId="60" borderId="0" xfId="0" applyFont="1" applyFill="1" applyAlignment="1">
      <alignment horizontal="center"/>
    </xf>
    <xf numFmtId="0" fontId="54" fillId="74" borderId="0" xfId="0" applyFont="1" applyFill="1" applyAlignment="1">
      <alignment horizontal="center"/>
    </xf>
    <xf numFmtId="0" fontId="54" fillId="69" borderId="0" xfId="0" applyFont="1" applyFill="1" applyAlignment="1">
      <alignment horizontal="center"/>
    </xf>
    <xf numFmtId="0" fontId="54" fillId="50" borderId="0" xfId="0" applyFont="1" applyFill="1" applyAlignment="1">
      <alignment horizontal="center"/>
    </xf>
    <xf numFmtId="0" fontId="61" fillId="59" borderId="0" xfId="0" applyFont="1" applyFill="1" applyAlignment="1">
      <alignment horizontal="center"/>
    </xf>
    <xf numFmtId="0" fontId="61" fillId="63" borderId="0" xfId="0" applyFont="1" applyFill="1" applyAlignment="1">
      <alignment horizontal="center"/>
    </xf>
    <xf numFmtId="0" fontId="57" fillId="63" borderId="0" xfId="0" applyFont="1" applyFill="1" applyAlignment="1">
      <alignment horizontal="center" vertical="center" wrapText="1"/>
    </xf>
    <xf numFmtId="0" fontId="66" fillId="45" borderId="27" xfId="1" applyFont="1" applyFill="1" applyBorder="1" applyAlignment="1">
      <alignment horizontal="left" vertical="center"/>
    </xf>
    <xf numFmtId="1" fontId="120" fillId="45" borderId="3" xfId="1" applyNumberFormat="1" applyFont="1" applyFill="1" applyBorder="1" applyAlignment="1">
      <alignment horizontal="center" vertical="center"/>
    </xf>
    <xf numFmtId="20" fontId="105" fillId="45" borderId="3" xfId="1" applyNumberFormat="1" applyFont="1" applyFill="1" applyBorder="1" applyAlignment="1">
      <alignment horizontal="center" vertical="center"/>
    </xf>
    <xf numFmtId="164" fontId="57" fillId="0" borderId="0" xfId="0" applyNumberFormat="1" applyFont="1" applyAlignment="1">
      <alignment horizontal="center" vertical="center"/>
    </xf>
    <xf numFmtId="0" fontId="60" fillId="57" borderId="2" xfId="0" applyFont="1" applyFill="1" applyBorder="1" applyAlignment="1">
      <alignment horizontal="left" vertical="center" wrapText="1"/>
    </xf>
    <xf numFmtId="1" fontId="63" fillId="66" borderId="2" xfId="0" applyNumberFormat="1" applyFont="1" applyFill="1" applyBorder="1" applyAlignment="1">
      <alignment horizontal="center"/>
    </xf>
    <xf numFmtId="2" fontId="55" fillId="66" borderId="2" xfId="0" applyNumberFormat="1" applyFont="1" applyFill="1" applyBorder="1" applyAlignment="1">
      <alignment horizontal="center" wrapText="1"/>
    </xf>
    <xf numFmtId="2" fontId="92" fillId="66" borderId="2" xfId="0" applyNumberFormat="1" applyFont="1" applyFill="1" applyBorder="1" applyAlignment="1">
      <alignment horizontal="center" vertical="center" wrapText="1"/>
    </xf>
    <xf numFmtId="2" fontId="131" fillId="0" borderId="2" xfId="0" applyNumberFormat="1" applyFont="1" applyBorder="1" applyAlignment="1">
      <alignment horizontal="left"/>
    </xf>
    <xf numFmtId="0" fontId="143" fillId="0" borderId="0" xfId="0" applyFont="1" applyAlignment="1">
      <alignment horizontal="left" vertical="center"/>
    </xf>
    <xf numFmtId="0" fontId="131" fillId="0" borderId="2" xfId="0" applyFont="1" applyBorder="1"/>
    <xf numFmtId="0" fontId="59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61" fillId="71" borderId="0" xfId="0" applyFont="1" applyFill="1" applyAlignment="1">
      <alignment horizontal="center"/>
    </xf>
    <xf numFmtId="0" fontId="57" fillId="71" borderId="0" xfId="0" applyFont="1" applyFill="1" applyAlignment="1">
      <alignment horizontal="center" vertical="center" wrapText="1"/>
    </xf>
    <xf numFmtId="0" fontId="57" fillId="45" borderId="0" xfId="0" applyFont="1" applyFill="1" applyAlignment="1">
      <alignment horizontal="center" vertical="center" wrapText="1"/>
    </xf>
    <xf numFmtId="0" fontId="57" fillId="60" borderId="0" xfId="0" applyFont="1" applyFill="1" applyAlignment="1">
      <alignment horizontal="center" vertical="center" wrapText="1"/>
    </xf>
    <xf numFmtId="0" fontId="57" fillId="74" borderId="0" xfId="0" applyFont="1" applyFill="1" applyAlignment="1">
      <alignment horizontal="center" vertical="center" wrapText="1"/>
    </xf>
    <xf numFmtId="0" fontId="57" fillId="69" borderId="0" xfId="0" applyFont="1" applyFill="1" applyAlignment="1">
      <alignment horizontal="center" vertical="center" wrapText="1"/>
    </xf>
    <xf numFmtId="0" fontId="57" fillId="50" borderId="0" xfId="0" applyFont="1" applyFill="1" applyAlignment="1">
      <alignment horizontal="center" vertical="center" wrapText="1"/>
    </xf>
    <xf numFmtId="0" fontId="57" fillId="59" borderId="0" xfId="0" applyFont="1" applyFill="1" applyAlignment="1">
      <alignment horizontal="center" vertical="center" wrapText="1"/>
    </xf>
    <xf numFmtId="0" fontId="57" fillId="55" borderId="2" xfId="0" applyFont="1" applyFill="1" applyBorder="1" applyAlignment="1">
      <alignment vertical="center" wrapText="1"/>
    </xf>
    <xf numFmtId="0" fontId="57" fillId="55" borderId="2" xfId="0" applyFont="1" applyFill="1" applyBorder="1" applyAlignment="1">
      <alignment horizontal="center" vertical="center" wrapText="1"/>
    </xf>
    <xf numFmtId="0" fontId="106" fillId="55" borderId="2" xfId="0" applyFont="1" applyFill="1" applyBorder="1" applyAlignment="1">
      <alignment horizontal="center" vertical="center" wrapText="1"/>
    </xf>
    <xf numFmtId="0" fontId="57" fillId="55" borderId="2" xfId="0" applyFont="1" applyFill="1" applyBorder="1" applyAlignment="1">
      <alignment horizontal="left" vertical="center" wrapText="1"/>
    </xf>
    <xf numFmtId="0" fontId="57" fillId="55" borderId="5" xfId="0" applyFont="1" applyFill="1" applyBorder="1" applyAlignment="1">
      <alignment horizontal="left" vertical="center" wrapText="1"/>
    </xf>
    <xf numFmtId="0" fontId="57" fillId="55" borderId="5" xfId="0" applyFont="1" applyFill="1" applyBorder="1" applyAlignment="1">
      <alignment horizontal="center" vertical="center" wrapText="1"/>
    </xf>
    <xf numFmtId="0" fontId="145" fillId="55" borderId="6" xfId="0" applyFont="1" applyFill="1" applyBorder="1" applyAlignment="1">
      <alignment horizontal="left" vertical="center" wrapText="1"/>
    </xf>
    <xf numFmtId="178" fontId="100" fillId="62" borderId="2" xfId="0" applyNumberFormat="1" applyFont="1" applyFill="1" applyBorder="1" applyAlignment="1">
      <alignment horizontal="left" vertical="center"/>
    </xf>
    <xf numFmtId="164" fontId="57" fillId="55" borderId="2" xfId="0" applyNumberFormat="1" applyFont="1" applyFill="1" applyBorder="1" applyAlignment="1">
      <alignment horizontal="center" vertical="center" wrapText="1"/>
    </xf>
    <xf numFmtId="164" fontId="59" fillId="0" borderId="0" xfId="0" applyNumberFormat="1" applyFont="1"/>
    <xf numFmtId="16" fontId="120" fillId="0" borderId="0" xfId="0" applyNumberFormat="1" applyFont="1" applyAlignment="1">
      <alignment horizontal="left" vertical="center"/>
    </xf>
    <xf numFmtId="0" fontId="61" fillId="55" borderId="0" xfId="0" applyFont="1" applyFill="1" applyAlignment="1">
      <alignment horizontal="center"/>
    </xf>
    <xf numFmtId="0" fontId="57" fillId="55" borderId="0" xfId="0" applyFont="1" applyFill="1" applyAlignment="1">
      <alignment horizontal="center" vertical="center" wrapText="1"/>
    </xf>
    <xf numFmtId="0" fontId="59" fillId="55" borderId="0" xfId="0" applyFont="1" applyFill="1" applyAlignment="1">
      <alignment horizontal="center"/>
    </xf>
    <xf numFmtId="0" fontId="59" fillId="0" borderId="0" xfId="0" applyFont="1" applyAlignment="1">
      <alignment horizontal="left"/>
    </xf>
    <xf numFmtId="0" fontId="61" fillId="0" borderId="0" xfId="0" applyFont="1" applyAlignment="1">
      <alignment horizontal="left"/>
    </xf>
    <xf numFmtId="0" fontId="108" fillId="0" borderId="2" xfId="0" applyFont="1" applyBorder="1"/>
    <xf numFmtId="0" fontId="61" fillId="0" borderId="0" xfId="0" applyFont="1" applyAlignment="1">
      <alignment horizontal="center"/>
    </xf>
    <xf numFmtId="1" fontId="131" fillId="0" borderId="2" xfId="0" applyNumberFormat="1" applyFont="1" applyBorder="1" applyAlignment="1">
      <alignment horizontal="center"/>
    </xf>
    <xf numFmtId="164" fontId="131" fillId="0" borderId="2" xfId="0" applyNumberFormat="1" applyFont="1" applyBorder="1" applyAlignment="1">
      <alignment horizontal="center"/>
    </xf>
    <xf numFmtId="2" fontId="131" fillId="0" borderId="2" xfId="0" applyNumberFormat="1" applyFont="1" applyBorder="1" applyAlignment="1">
      <alignment horizontal="center"/>
    </xf>
    <xf numFmtId="2" fontId="131" fillId="0" borderId="2" xfId="0" applyNumberFormat="1" applyFont="1" applyBorder="1"/>
    <xf numFmtId="49" fontId="131" fillId="0" borderId="2" xfId="0" applyNumberFormat="1" applyFont="1" applyBorder="1" applyAlignment="1">
      <alignment horizontal="left"/>
    </xf>
    <xf numFmtId="1" fontId="131" fillId="0" borderId="2" xfId="0" applyNumberFormat="1" applyFont="1" applyBorder="1" applyAlignment="1">
      <alignment horizontal="left"/>
    </xf>
    <xf numFmtId="0" fontId="116" fillId="0" borderId="2" xfId="0" applyFont="1" applyBorder="1" applyAlignment="1">
      <alignment horizontal="center"/>
    </xf>
    <xf numFmtId="2" fontId="133" fillId="0" borderId="2" xfId="0" applyNumberFormat="1" applyFont="1" applyBorder="1" applyAlignment="1">
      <alignment horizontal="center"/>
    </xf>
    <xf numFmtId="166" fontId="131" fillId="0" borderId="2" xfId="0" applyNumberFormat="1" applyFont="1" applyBorder="1" applyAlignment="1">
      <alignment horizontal="center"/>
    </xf>
    <xf numFmtId="2" fontId="131" fillId="0" borderId="0" xfId="0" applyNumberFormat="1" applyFont="1" applyAlignment="1">
      <alignment horizontal="center"/>
    </xf>
    <xf numFmtId="1" fontId="128" fillId="0" borderId="2" xfId="0" applyNumberFormat="1" applyFont="1" applyBorder="1" applyAlignment="1">
      <alignment horizontal="center"/>
    </xf>
    <xf numFmtId="164" fontId="128" fillId="0" borderId="2" xfId="0" applyNumberFormat="1" applyFont="1" applyBorder="1" applyAlignment="1">
      <alignment horizontal="center"/>
    </xf>
    <xf numFmtId="2" fontId="128" fillId="0" borderId="2" xfId="0" applyNumberFormat="1" applyFont="1" applyBorder="1" applyAlignment="1">
      <alignment horizontal="center"/>
    </xf>
    <xf numFmtId="2" fontId="128" fillId="0" borderId="2" xfId="0" applyNumberFormat="1" applyFont="1" applyBorder="1"/>
    <xf numFmtId="49" fontId="128" fillId="0" borderId="2" xfId="0" applyNumberFormat="1" applyFont="1" applyBorder="1" applyAlignment="1">
      <alignment horizontal="left"/>
    </xf>
    <xf numFmtId="49" fontId="128" fillId="0" borderId="2" xfId="0" applyNumberFormat="1" applyFont="1" applyBorder="1" applyAlignment="1">
      <alignment horizontal="center"/>
    </xf>
    <xf numFmtId="1" fontId="128" fillId="0" borderId="2" xfId="0" applyNumberFormat="1" applyFont="1" applyBorder="1" applyAlignment="1">
      <alignment horizontal="left"/>
    </xf>
    <xf numFmtId="2" fontId="141" fillId="0" borderId="2" xfId="0" applyNumberFormat="1" applyFont="1" applyBorder="1" applyAlignment="1">
      <alignment horizontal="center"/>
    </xf>
    <xf numFmtId="166" fontId="128" fillId="0" borderId="2" xfId="0" applyNumberFormat="1" applyFont="1" applyBorder="1" applyAlignment="1">
      <alignment horizontal="center"/>
    </xf>
    <xf numFmtId="2" fontId="128" fillId="0" borderId="0" xfId="0" applyNumberFormat="1" applyFont="1" applyAlignment="1">
      <alignment horizontal="center"/>
    </xf>
    <xf numFmtId="1" fontId="91" fillId="45" borderId="2" xfId="0" applyNumberFormat="1" applyFont="1" applyFill="1" applyBorder="1" applyAlignment="1">
      <alignment horizontal="left" vertical="center" wrapText="1"/>
    </xf>
    <xf numFmtId="0" fontId="131" fillId="0" borderId="2" xfId="0" applyFont="1" applyBorder="1" applyAlignment="1">
      <alignment horizontal="left" vertical="top" wrapText="1"/>
    </xf>
    <xf numFmtId="0" fontId="112" fillId="0" borderId="2" xfId="0" applyFont="1" applyBorder="1" applyAlignment="1">
      <alignment horizontal="center" vertical="top" wrapText="1"/>
    </xf>
    <xf numFmtId="0" fontId="112" fillId="0" borderId="5" xfId="0" applyFont="1" applyBorder="1" applyAlignment="1">
      <alignment horizontal="center" vertical="top" wrapText="1"/>
    </xf>
    <xf numFmtId="164" fontId="112" fillId="0" borderId="2" xfId="0" applyNumberFormat="1" applyFont="1" applyBorder="1" applyAlignment="1">
      <alignment horizontal="center" vertical="top" wrapText="1"/>
    </xf>
    <xf numFmtId="0" fontId="112" fillId="45" borderId="6" xfId="0" applyFont="1" applyFill="1" applyBorder="1" applyAlignment="1">
      <alignment horizontal="center" vertical="top" wrapText="1"/>
    </xf>
    <xf numFmtId="0" fontId="112" fillId="60" borderId="2" xfId="0" applyFont="1" applyFill="1" applyBorder="1" applyAlignment="1">
      <alignment horizontal="center" vertical="top" wrapText="1"/>
    </xf>
    <xf numFmtId="0" fontId="112" fillId="74" borderId="2" xfId="0" applyFont="1" applyFill="1" applyBorder="1" applyAlignment="1">
      <alignment horizontal="center" vertical="top" wrapText="1"/>
    </xf>
    <xf numFmtId="0" fontId="112" fillId="69" borderId="2" xfId="0" applyFont="1" applyFill="1" applyBorder="1" applyAlignment="1">
      <alignment horizontal="center" vertical="top" wrapText="1"/>
    </xf>
    <xf numFmtId="0" fontId="112" fillId="50" borderId="2" xfId="0" applyFont="1" applyFill="1" applyBorder="1" applyAlignment="1">
      <alignment horizontal="center" vertical="top" wrapText="1"/>
    </xf>
    <xf numFmtId="0" fontId="112" fillId="59" borderId="2" xfId="0" applyFont="1" applyFill="1" applyBorder="1" applyAlignment="1">
      <alignment horizontal="center" vertical="top" wrapText="1"/>
    </xf>
    <xf numFmtId="0" fontId="112" fillId="63" borderId="2" xfId="0" applyFont="1" applyFill="1" applyBorder="1" applyAlignment="1">
      <alignment horizontal="center" vertical="top" wrapText="1"/>
    </xf>
    <xf numFmtId="0" fontId="112" fillId="71" borderId="2" xfId="0" applyFont="1" applyFill="1" applyBorder="1" applyAlignment="1">
      <alignment horizontal="center" vertical="top" wrapText="1"/>
    </xf>
    <xf numFmtId="0" fontId="112" fillId="55" borderId="2" xfId="0" applyFont="1" applyFill="1" applyBorder="1" applyAlignment="1">
      <alignment horizontal="center" vertical="top" wrapText="1"/>
    </xf>
    <xf numFmtId="0" fontId="112" fillId="68" borderId="2" xfId="0" applyFont="1" applyFill="1" applyBorder="1" applyAlignment="1">
      <alignment horizontal="center" vertical="top" wrapText="1"/>
    </xf>
    <xf numFmtId="0" fontId="112" fillId="72" borderId="2" xfId="0" applyFont="1" applyFill="1" applyBorder="1" applyAlignment="1">
      <alignment horizontal="center" vertical="top" wrapText="1"/>
    </xf>
    <xf numFmtId="0" fontId="112" fillId="0" borderId="6" xfId="0" applyFont="1" applyBorder="1" applyAlignment="1">
      <alignment horizontal="center" vertical="top" wrapText="1"/>
    </xf>
    <xf numFmtId="0" fontId="112" fillId="52" borderId="2" xfId="0" applyFont="1" applyFill="1" applyBorder="1" applyAlignment="1">
      <alignment horizontal="center" vertical="top" wrapText="1"/>
    </xf>
    <xf numFmtId="0" fontId="112" fillId="57" borderId="2" xfId="0" applyFont="1" applyFill="1" applyBorder="1" applyAlignment="1">
      <alignment horizontal="center" vertical="top" wrapText="1"/>
    </xf>
    <xf numFmtId="0" fontId="112" fillId="0" borderId="0" xfId="0" applyFont="1" applyAlignment="1">
      <alignment horizontal="center" vertical="top" wrapText="1"/>
    </xf>
    <xf numFmtId="1" fontId="147" fillId="2" borderId="2" xfId="0" applyNumberFormat="1" applyFont="1" applyFill="1" applyBorder="1" applyAlignment="1">
      <alignment horizontal="center"/>
    </xf>
    <xf numFmtId="1" fontId="126" fillId="0" borderId="2" xfId="0" applyNumberFormat="1" applyFont="1" applyBorder="1" applyAlignment="1">
      <alignment horizontal="center"/>
    </xf>
    <xf numFmtId="1" fontId="146" fillId="0" borderId="2" xfId="0" applyNumberFormat="1" applyFont="1" applyBorder="1" applyAlignment="1">
      <alignment horizontal="center"/>
    </xf>
    <xf numFmtId="1" fontId="149" fillId="2" borderId="2" xfId="0" applyNumberFormat="1" applyFont="1" applyFill="1" applyBorder="1" applyAlignment="1">
      <alignment horizontal="center"/>
    </xf>
    <xf numFmtId="1" fontId="149" fillId="41" borderId="2" xfId="0" applyNumberFormat="1" applyFont="1" applyFill="1" applyBorder="1" applyAlignment="1">
      <alignment horizontal="center" wrapText="1"/>
    </xf>
    <xf numFmtId="1" fontId="149" fillId="45" borderId="2" xfId="0" applyNumberFormat="1" applyFont="1" applyFill="1" applyBorder="1" applyAlignment="1">
      <alignment horizontal="center" vertical="center" wrapText="1"/>
    </xf>
    <xf numFmtId="1" fontId="148" fillId="43" borderId="2" xfId="0" applyNumberFormat="1" applyFont="1" applyFill="1" applyBorder="1" applyAlignment="1">
      <alignment horizontal="center" wrapText="1"/>
    </xf>
    <xf numFmtId="1" fontId="114" fillId="45" borderId="2" xfId="0" applyNumberFormat="1" applyFont="1" applyFill="1" applyBorder="1" applyAlignment="1">
      <alignment horizontal="center" vertical="center" wrapText="1"/>
    </xf>
    <xf numFmtId="1" fontId="150" fillId="50" borderId="2" xfId="0" applyNumberFormat="1" applyFont="1" applyFill="1" applyBorder="1" applyAlignment="1">
      <alignment horizontal="center" vertical="center" wrapText="1"/>
    </xf>
    <xf numFmtId="2" fontId="55" fillId="45" borderId="2" xfId="0" applyNumberFormat="1" applyFont="1" applyFill="1" applyBorder="1" applyAlignment="1">
      <alignment horizontal="left" vertical="center" wrapText="1"/>
    </xf>
    <xf numFmtId="2" fontId="100" fillId="0" borderId="2" xfId="0" applyNumberFormat="1" applyFont="1" applyBorder="1" applyAlignment="1">
      <alignment horizontal="center" vertical="center"/>
    </xf>
    <xf numFmtId="2" fontId="91" fillId="71" borderId="2" xfId="0" applyNumberFormat="1" applyFont="1" applyFill="1" applyBorder="1" applyAlignment="1">
      <alignment horizontal="left" wrapText="1"/>
    </xf>
    <xf numFmtId="1" fontId="55" fillId="2" borderId="2" xfId="0" applyNumberFormat="1" applyFont="1" applyFill="1" applyBorder="1" applyAlignment="1">
      <alignment horizontal="left"/>
    </xf>
    <xf numFmtId="164" fontId="55" fillId="36" borderId="2" xfId="0" applyNumberFormat="1" applyFont="1" applyFill="1" applyBorder="1" applyAlignment="1">
      <alignment horizontal="center" wrapText="1"/>
    </xf>
    <xf numFmtId="164" fontId="97" fillId="45" borderId="2" xfId="0" applyNumberFormat="1" applyFont="1" applyFill="1" applyBorder="1" applyAlignment="1">
      <alignment horizontal="center" vertical="center" wrapText="1"/>
    </xf>
    <xf numFmtId="0" fontId="113" fillId="69" borderId="5" xfId="0" applyFont="1" applyFill="1" applyBorder="1" applyAlignment="1">
      <alignment horizontal="center" vertical="center" wrapText="1"/>
    </xf>
    <xf numFmtId="0" fontId="89" fillId="37" borderId="2" xfId="0" applyFont="1" applyFill="1" applyBorder="1" applyAlignment="1">
      <alignment horizontal="center" vertical="top" wrapText="1"/>
    </xf>
    <xf numFmtId="179" fontId="98" fillId="0" borderId="2" xfId="0" applyNumberFormat="1" applyFont="1" applyBorder="1"/>
    <xf numFmtId="1" fontId="151" fillId="70" borderId="2" xfId="0" applyNumberFormat="1" applyFont="1" applyFill="1" applyBorder="1" applyAlignment="1">
      <alignment horizontal="center" vertical="top" wrapText="1"/>
    </xf>
    <xf numFmtId="0" fontId="152" fillId="37" borderId="0" xfId="0" applyFont="1" applyFill="1" applyAlignment="1">
      <alignment horizontal="center"/>
    </xf>
    <xf numFmtId="0" fontId="123" fillId="0" borderId="2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7" fillId="0" borderId="2" xfId="0" applyFont="1" applyBorder="1" applyAlignment="1">
      <alignment horizontal="left" vertical="center" wrapText="1"/>
    </xf>
    <xf numFmtId="177" fontId="153" fillId="0" borderId="2" xfId="0" applyNumberFormat="1" applyFont="1" applyBorder="1" applyAlignment="1">
      <alignment horizontal="center" vertical="center"/>
    </xf>
    <xf numFmtId="2" fontId="70" fillId="0" borderId="0" xfId="0" applyNumberFormat="1" applyFont="1" applyAlignment="1">
      <alignment horizontal="left"/>
    </xf>
    <xf numFmtId="1" fontId="55" fillId="0" borderId="0" xfId="0" applyNumberFormat="1" applyFont="1" applyAlignment="1">
      <alignment horizontal="left"/>
    </xf>
    <xf numFmtId="1" fontId="149" fillId="0" borderId="0" xfId="0" applyNumberFormat="1" applyFont="1" applyAlignment="1">
      <alignment horizontal="center"/>
    </xf>
    <xf numFmtId="1" fontId="55" fillId="0" borderId="0" xfId="0" applyNumberFormat="1" applyFont="1" applyAlignment="1">
      <alignment horizontal="center"/>
    </xf>
    <xf numFmtId="2" fontId="55" fillId="0" borderId="0" xfId="0" applyNumberFormat="1" applyFont="1" applyAlignment="1">
      <alignment horizontal="center" vertical="center"/>
    </xf>
    <xf numFmtId="2" fontId="55" fillId="0" borderId="0" xfId="0" applyNumberFormat="1" applyFont="1"/>
    <xf numFmtId="1" fontId="148" fillId="0" borderId="0" xfId="0" applyNumberFormat="1" applyFont="1" applyAlignment="1">
      <alignment horizontal="center"/>
    </xf>
    <xf numFmtId="1" fontId="65" fillId="0" borderId="0" xfId="0" applyNumberFormat="1" applyFont="1" applyAlignment="1">
      <alignment horizontal="center"/>
    </xf>
    <xf numFmtId="1" fontId="98" fillId="0" borderId="0" xfId="0" applyNumberFormat="1" applyFont="1" applyAlignment="1">
      <alignment horizontal="center"/>
    </xf>
    <xf numFmtId="1" fontId="98" fillId="0" borderId="0" xfId="0" applyNumberFormat="1" applyFont="1" applyAlignment="1">
      <alignment horizontal="center" vertical="center"/>
    </xf>
    <xf numFmtId="2" fontId="63" fillId="0" borderId="0" xfId="0" applyNumberFormat="1" applyFont="1" applyAlignment="1">
      <alignment horizontal="center"/>
    </xf>
    <xf numFmtId="164" fontId="65" fillId="0" borderId="0" xfId="0" applyNumberFormat="1" applyFont="1" applyAlignment="1">
      <alignment horizontal="center"/>
    </xf>
    <xf numFmtId="2" fontId="65" fillId="0" borderId="0" xfId="0" applyNumberFormat="1" applyFont="1" applyAlignment="1">
      <alignment horizontal="center"/>
    </xf>
    <xf numFmtId="164" fontId="55" fillId="0" borderId="0" xfId="0" applyNumberFormat="1" applyFont="1" applyAlignment="1">
      <alignment horizontal="center"/>
    </xf>
    <xf numFmtId="166" fontId="55" fillId="0" borderId="0" xfId="0" applyNumberFormat="1" applyFont="1" applyAlignment="1">
      <alignment horizontal="center"/>
    </xf>
    <xf numFmtId="0" fontId="101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1" fontId="63" fillId="0" borderId="0" xfId="0" applyNumberFormat="1" applyFont="1" applyAlignment="1">
      <alignment horizontal="center"/>
    </xf>
    <xf numFmtId="2" fontId="55" fillId="0" borderId="0" xfId="0" applyNumberFormat="1" applyFont="1" applyAlignment="1">
      <alignment horizontal="center" wrapText="1"/>
    </xf>
    <xf numFmtId="2" fontId="91" fillId="0" borderId="0" xfId="0" applyNumberFormat="1" applyFont="1" applyAlignment="1">
      <alignment horizontal="center" vertical="center" wrapText="1"/>
    </xf>
    <xf numFmtId="0" fontId="122" fillId="0" borderId="0" xfId="0" applyFont="1" applyAlignment="1">
      <alignment horizontal="right"/>
    </xf>
    <xf numFmtId="0" fontId="89" fillId="0" borderId="0" xfId="0" applyFont="1" applyAlignment="1">
      <alignment horizontal="center" vertical="top" wrapText="1"/>
    </xf>
    <xf numFmtId="0" fontId="109" fillId="0" borderId="9" xfId="1" applyFont="1" applyFill="1" applyBorder="1" applyAlignment="1">
      <alignment horizontal="center" vertical="center" wrapText="1"/>
    </xf>
    <xf numFmtId="0" fontId="109" fillId="71" borderId="2" xfId="1" applyNumberFormat="1" applyFont="1" applyFill="1" applyBorder="1" applyAlignment="1" applyProtection="1">
      <alignment horizontal="left" vertical="center"/>
    </xf>
    <xf numFmtId="0" fontId="115" fillId="40" borderId="0" xfId="1" applyFont="1" applyFill="1" applyBorder="1" applyAlignment="1" applyProtection="1">
      <alignment horizontal="center" vertical="center"/>
    </xf>
    <xf numFmtId="0" fontId="113" fillId="3" borderId="4" xfId="1" applyFont="1" applyFill="1" applyBorder="1" applyAlignment="1" applyProtection="1">
      <alignment horizontal="center" vertical="center"/>
    </xf>
    <xf numFmtId="0" fontId="120" fillId="0" borderId="2" xfId="0" applyFont="1" applyBorder="1" applyAlignment="1">
      <alignment horizontal="center" vertical="center"/>
    </xf>
    <xf numFmtId="0" fontId="58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horizontal="center" vertical="center"/>
    </xf>
    <xf numFmtId="1" fontId="5" fillId="69" borderId="2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55" fillId="37" borderId="0" xfId="0" applyFont="1" applyFill="1" applyAlignment="1">
      <alignment horizontal="center"/>
    </xf>
    <xf numFmtId="0" fontId="144" fillId="57" borderId="2" xfId="0" applyFont="1" applyFill="1" applyBorder="1" applyAlignment="1">
      <alignment horizontal="left" vertical="center" wrapText="1"/>
    </xf>
    <xf numFmtId="0" fontId="57" fillId="57" borderId="2" xfId="0" applyFont="1" applyFill="1" applyBorder="1" applyAlignment="1">
      <alignment horizontal="center" vertical="center"/>
    </xf>
    <xf numFmtId="181" fontId="57" fillId="0" borderId="2" xfId="0" applyNumberFormat="1" applyFont="1" applyBorder="1" applyAlignment="1">
      <alignment horizontal="center" vertical="center"/>
    </xf>
    <xf numFmtId="164" fontId="63" fillId="2" borderId="2" xfId="0" applyNumberFormat="1" applyFont="1" applyFill="1" applyBorder="1" applyAlignment="1">
      <alignment horizontal="left"/>
    </xf>
    <xf numFmtId="164" fontId="55" fillId="36" borderId="2" xfId="0" applyNumberFormat="1" applyFont="1" applyFill="1" applyBorder="1" applyAlignment="1">
      <alignment horizontal="left" wrapText="1"/>
    </xf>
    <xf numFmtId="164" fontId="97" fillId="45" borderId="2" xfId="0" applyNumberFormat="1" applyFont="1" applyFill="1" applyBorder="1" applyAlignment="1">
      <alignment horizontal="left" vertical="center" wrapText="1"/>
    </xf>
    <xf numFmtId="164" fontId="55" fillId="0" borderId="0" xfId="0" applyNumberFormat="1" applyFont="1" applyAlignment="1">
      <alignment horizontal="left"/>
    </xf>
    <xf numFmtId="178" fontId="60" fillId="0" borderId="2" xfId="0" applyNumberFormat="1" applyFont="1" applyBorder="1" applyAlignment="1">
      <alignment horizontal="left" vertical="center"/>
    </xf>
    <xf numFmtId="1" fontId="57" fillId="0" borderId="2" xfId="0" applyNumberFormat="1" applyFont="1" applyBorder="1" applyAlignment="1">
      <alignment horizontal="center" vertical="center"/>
    </xf>
    <xf numFmtId="1" fontId="144" fillId="0" borderId="2" xfId="0" applyNumberFormat="1" applyFont="1" applyBorder="1" applyAlignment="1">
      <alignment horizontal="left" vertical="center"/>
    </xf>
    <xf numFmtId="177" fontId="57" fillId="0" borderId="2" xfId="0" applyNumberFormat="1" applyFont="1" applyBorder="1" applyAlignment="1">
      <alignment horizontal="center" vertical="center"/>
    </xf>
    <xf numFmtId="0" fontId="57" fillId="73" borderId="2" xfId="0" applyFont="1" applyFill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 wrapText="1"/>
    </xf>
    <xf numFmtId="0" fontId="106" fillId="57" borderId="2" xfId="0" applyFont="1" applyFill="1" applyBorder="1" applyAlignment="1">
      <alignment horizontal="left" vertical="center" wrapText="1"/>
    </xf>
    <xf numFmtId="178" fontId="54" fillId="0" borderId="16" xfId="0" applyNumberFormat="1" applyFont="1" applyBorder="1" applyAlignment="1">
      <alignment horizontal="left" vertical="center"/>
    </xf>
    <xf numFmtId="0" fontId="57" fillId="57" borderId="6" xfId="0" applyFont="1" applyFill="1" applyBorder="1" applyAlignment="1">
      <alignment horizontal="center" vertical="center"/>
    </xf>
    <xf numFmtId="0" fontId="57" fillId="57" borderId="20" xfId="0" applyFont="1" applyFill="1" applyBorder="1" applyAlignment="1">
      <alignment horizontal="left" vertical="center"/>
    </xf>
    <xf numFmtId="0" fontId="135" fillId="0" borderId="2" xfId="0" applyFont="1" applyBorder="1" applyAlignment="1">
      <alignment vertical="center" wrapText="1"/>
    </xf>
    <xf numFmtId="164" fontId="58" fillId="0" borderId="2" xfId="0" applyNumberFormat="1" applyFont="1" applyBorder="1" applyAlignment="1">
      <alignment horizontal="center" vertical="center"/>
    </xf>
    <xf numFmtId="0" fontId="144" fillId="0" borderId="2" xfId="0" applyFont="1" applyBorder="1" applyAlignment="1">
      <alignment horizontal="left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2" xfId="0" applyFont="1" applyBorder="1" applyAlignment="1">
      <alignment horizontal="center" vertical="center" wrapText="1"/>
    </xf>
    <xf numFmtId="0" fontId="58" fillId="73" borderId="6" xfId="0" applyFont="1" applyFill="1" applyBorder="1" applyAlignment="1">
      <alignment horizontal="center" vertical="center" wrapText="1"/>
    </xf>
    <xf numFmtId="0" fontId="58" fillId="73" borderId="2" xfId="0" applyFont="1" applyFill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1" fontId="136" fillId="0" borderId="2" xfId="0" applyNumberFormat="1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 wrapText="1"/>
    </xf>
    <xf numFmtId="173" fontId="57" fillId="0" borderId="2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60" fillId="53" borderId="2" xfId="0" applyFont="1" applyFill="1" applyBorder="1" applyAlignment="1">
      <alignment horizontal="left" vertical="center"/>
    </xf>
    <xf numFmtId="164" fontId="134" fillId="53" borderId="2" xfId="0" applyNumberFormat="1" applyFont="1" applyFill="1" applyBorder="1" applyAlignment="1">
      <alignment horizontal="left" vertical="center"/>
    </xf>
    <xf numFmtId="177" fontId="153" fillId="53" borderId="2" xfId="0" applyNumberFormat="1" applyFont="1" applyFill="1" applyBorder="1" applyAlignment="1">
      <alignment horizontal="center" vertical="center"/>
    </xf>
    <xf numFmtId="173" fontId="57" fillId="53" borderId="2" xfId="0" applyNumberFormat="1" applyFont="1" applyFill="1" applyBorder="1" applyAlignment="1">
      <alignment horizontal="center" vertical="center"/>
    </xf>
    <xf numFmtId="0" fontId="120" fillId="53" borderId="2" xfId="0" applyFont="1" applyFill="1" applyBorder="1" applyAlignment="1">
      <alignment horizontal="center" vertical="center"/>
    </xf>
    <xf numFmtId="0" fontId="57" fillId="53" borderId="2" xfId="0" applyFont="1" applyFill="1" applyBorder="1" applyAlignment="1">
      <alignment horizontal="center" vertical="center"/>
    </xf>
    <xf numFmtId="0" fontId="120" fillId="53" borderId="2" xfId="0" applyFont="1" applyFill="1" applyBorder="1" applyAlignment="1">
      <alignment horizontal="left" vertical="center" wrapText="1"/>
    </xf>
    <xf numFmtId="1" fontId="57" fillId="53" borderId="2" xfId="0" applyNumberFormat="1" applyFont="1" applyFill="1" applyBorder="1" applyAlignment="1">
      <alignment horizontal="center" vertical="center"/>
    </xf>
    <xf numFmtId="1" fontId="144" fillId="53" borderId="2" xfId="0" applyNumberFormat="1" applyFont="1" applyFill="1" applyBorder="1" applyAlignment="1">
      <alignment horizontal="left" vertical="center"/>
    </xf>
    <xf numFmtId="167" fontId="108" fillId="53" borderId="2" xfId="0" applyNumberFormat="1" applyFont="1" applyFill="1" applyBorder="1" applyAlignment="1">
      <alignment horizontal="left" vertical="center"/>
    </xf>
    <xf numFmtId="164" fontId="58" fillId="53" borderId="2" xfId="0" applyNumberFormat="1" applyFont="1" applyFill="1" applyBorder="1" applyAlignment="1">
      <alignment horizontal="left" vertical="center"/>
    </xf>
    <xf numFmtId="164" fontId="57" fillId="53" borderId="2" xfId="0" applyNumberFormat="1" applyFont="1" applyFill="1" applyBorder="1" applyAlignment="1">
      <alignment horizontal="center" vertical="center"/>
    </xf>
    <xf numFmtId="1" fontId="136" fillId="53" borderId="2" xfId="0" applyNumberFormat="1" applyFont="1" applyFill="1" applyBorder="1" applyAlignment="1">
      <alignment horizontal="center" vertical="center"/>
    </xf>
    <xf numFmtId="177" fontId="57" fillId="53" borderId="2" xfId="0" applyNumberFormat="1" applyFont="1" applyFill="1" applyBorder="1" applyAlignment="1">
      <alignment horizontal="center" vertical="center"/>
    </xf>
    <xf numFmtId="0" fontId="57" fillId="53" borderId="2" xfId="0" applyFont="1" applyFill="1" applyBorder="1" applyAlignment="1">
      <alignment horizontal="left" vertical="center"/>
    </xf>
    <xf numFmtId="181" fontId="57" fillId="53" borderId="2" xfId="0" applyNumberFormat="1" applyFont="1" applyFill="1" applyBorder="1" applyAlignment="1">
      <alignment horizontal="center" vertical="center"/>
    </xf>
    <xf numFmtId="2" fontId="108" fillId="53" borderId="2" xfId="0" applyNumberFormat="1" applyFont="1" applyFill="1" applyBorder="1" applyAlignment="1">
      <alignment horizontal="left" wrapText="1"/>
    </xf>
    <xf numFmtId="0" fontId="102" fillId="53" borderId="2" xfId="0" applyFont="1" applyFill="1" applyBorder="1" applyAlignment="1">
      <alignment horizontal="left"/>
    </xf>
    <xf numFmtId="0" fontId="89" fillId="37" borderId="0" xfId="1" applyFont="1" applyFill="1" applyBorder="1" applyAlignment="1" applyProtection="1">
      <alignment horizontal="center" vertical="center"/>
    </xf>
    <xf numFmtId="0" fontId="111" fillId="3" borderId="4" xfId="1" applyFont="1" applyFill="1" applyBorder="1" applyAlignment="1" applyProtection="1">
      <alignment horizontal="center" vertical="center"/>
      <protection locked="0"/>
    </xf>
    <xf numFmtId="0" fontId="154" fillId="4" borderId="3" xfId="1" applyFont="1" applyFill="1" applyBorder="1" applyAlignment="1" applyProtection="1">
      <alignment horizontal="center" vertical="center" wrapText="1"/>
    </xf>
    <xf numFmtId="170" fontId="113" fillId="71" borderId="2" xfId="45" applyNumberFormat="1" applyFont="1" applyFill="1" applyBorder="1" applyAlignment="1" applyProtection="1">
      <alignment horizontal="center" vertical="center"/>
    </xf>
    <xf numFmtId="0" fontId="99" fillId="0" borderId="2" xfId="0" applyFont="1" applyBorder="1" applyAlignment="1">
      <alignment horizontal="center" vertical="center"/>
    </xf>
    <xf numFmtId="0" fontId="102" fillId="57" borderId="2" xfId="0" applyFont="1" applyFill="1" applyBorder="1" applyAlignment="1">
      <alignment horizontal="center" vertical="center"/>
    </xf>
    <xf numFmtId="178" fontId="56" fillId="53" borderId="2" xfId="0" applyNumberFormat="1" applyFont="1" applyFill="1" applyBorder="1" applyAlignment="1">
      <alignment horizontal="left" vertical="center"/>
    </xf>
    <xf numFmtId="1" fontId="0" fillId="0" borderId="0" xfId="0" applyNumberFormat="1"/>
    <xf numFmtId="0" fontId="98" fillId="0" borderId="6" xfId="0" applyFont="1" applyBorder="1"/>
    <xf numFmtId="0" fontId="158" fillId="37" borderId="0" xfId="0" applyFont="1" applyFill="1" applyAlignment="1">
      <alignment horizontal="center"/>
    </xf>
    <xf numFmtId="1" fontId="121" fillId="0" borderId="2" xfId="0" applyNumberFormat="1" applyFont="1" applyBorder="1" applyAlignment="1">
      <alignment horizontal="left"/>
    </xf>
    <xf numFmtId="1" fontId="159" fillId="0" borderId="2" xfId="0" applyNumberFormat="1" applyFont="1" applyBorder="1" applyAlignment="1">
      <alignment horizontal="left"/>
    </xf>
    <xf numFmtId="1" fontId="159" fillId="2" borderId="2" xfId="0" applyNumberFormat="1" applyFont="1" applyFill="1" applyBorder="1" applyAlignment="1">
      <alignment horizontal="left" vertical="center"/>
    </xf>
    <xf numFmtId="1" fontId="159" fillId="45" borderId="2" xfId="0" applyNumberFormat="1" applyFont="1" applyFill="1" applyBorder="1" applyAlignment="1">
      <alignment horizontal="left" vertical="center" wrapText="1"/>
    </xf>
    <xf numFmtId="1" fontId="159" fillId="0" borderId="0" xfId="0" applyNumberFormat="1" applyFont="1" applyAlignment="1">
      <alignment horizontal="left"/>
    </xf>
    <xf numFmtId="0" fontId="56" fillId="0" borderId="28" xfId="0" applyFont="1" applyBorder="1" applyAlignment="1">
      <alignment vertical="center"/>
    </xf>
    <xf numFmtId="3" fontId="131" fillId="70" borderId="5" xfId="0" applyNumberFormat="1" applyFont="1" applyFill="1" applyBorder="1" applyAlignment="1">
      <alignment horizontal="center" vertical="top" wrapText="1"/>
    </xf>
    <xf numFmtId="3" fontId="131" fillId="0" borderId="5" xfId="0" applyNumberFormat="1" applyFont="1" applyBorder="1" applyAlignment="1">
      <alignment horizontal="center"/>
    </xf>
    <xf numFmtId="0" fontId="113" fillId="70" borderId="6" xfId="0" applyFont="1" applyFill="1" applyBorder="1" applyAlignment="1">
      <alignment horizontal="center" vertical="top" wrapText="1"/>
    </xf>
    <xf numFmtId="178" fontId="60" fillId="0" borderId="0" xfId="0" applyNumberFormat="1" applyFont="1" applyAlignment="1">
      <alignment horizontal="left" vertical="center"/>
    </xf>
    <xf numFmtId="0" fontId="156" fillId="0" borderId="2" xfId="0" applyFont="1" applyBorder="1" applyAlignment="1">
      <alignment vertical="center"/>
    </xf>
    <xf numFmtId="0" fontId="113" fillId="71" borderId="2" xfId="1" applyNumberFormat="1" applyFont="1" applyFill="1" applyBorder="1" applyAlignment="1" applyProtection="1">
      <alignment vertical="center"/>
    </xf>
    <xf numFmtId="178" fontId="60" fillId="50" borderId="8" xfId="0" applyNumberFormat="1" applyFont="1" applyFill="1" applyBorder="1" applyAlignment="1">
      <alignment horizontal="left" vertical="center"/>
    </xf>
    <xf numFmtId="0" fontId="161" fillId="37" borderId="0" xfId="0" applyFont="1" applyFill="1" applyAlignment="1">
      <alignment horizontal="center"/>
    </xf>
    <xf numFmtId="14" fontId="108" fillId="70" borderId="2" xfId="0" applyNumberFormat="1" applyFont="1" applyFill="1" applyBorder="1" applyAlignment="1">
      <alignment horizontal="center" vertical="top" wrapText="1"/>
    </xf>
    <xf numFmtId="1" fontId="131" fillId="0" borderId="2" xfId="0" applyNumberFormat="1" applyFont="1" applyBorder="1" applyAlignment="1">
      <alignment vertical="center"/>
    </xf>
    <xf numFmtId="1" fontId="131" fillId="0" borderId="0" xfId="0" applyNumberFormat="1" applyFont="1" applyAlignment="1">
      <alignment vertical="center"/>
    </xf>
    <xf numFmtId="1" fontId="131" fillId="2" borderId="2" xfId="0" applyNumberFormat="1" applyFont="1" applyFill="1" applyBorder="1" applyAlignment="1">
      <alignment vertical="center"/>
    </xf>
    <xf numFmtId="1" fontId="124" fillId="51" borderId="2" xfId="0" applyNumberFormat="1" applyFont="1" applyFill="1" applyBorder="1" applyAlignment="1">
      <alignment vertical="center" wrapText="1"/>
    </xf>
    <xf numFmtId="1" fontId="116" fillId="50" borderId="2" xfId="0" applyNumberFormat="1" applyFont="1" applyFill="1" applyBorder="1" applyAlignment="1">
      <alignment vertical="center" wrapText="1"/>
    </xf>
    <xf numFmtId="3" fontId="162" fillId="37" borderId="2" xfId="0" applyNumberFormat="1" applyFont="1" applyFill="1" applyBorder="1" applyAlignment="1">
      <alignment horizontal="right"/>
    </xf>
    <xf numFmtId="3" fontId="163" fillId="70" borderId="2" xfId="0" applyNumberFormat="1" applyFont="1" applyFill="1" applyBorder="1" applyAlignment="1">
      <alignment horizontal="right" vertical="top" wrapText="1"/>
    </xf>
    <xf numFmtId="15" fontId="109" fillId="4" borderId="26" xfId="1" applyNumberFormat="1" applyFont="1" applyFill="1" applyBorder="1" applyAlignment="1" applyProtection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102" fillId="0" borderId="0" xfId="0" applyFont="1" applyAlignment="1">
      <alignment horizontal="center"/>
    </xf>
    <xf numFmtId="168" fontId="106" fillId="70" borderId="2" xfId="0" applyNumberFormat="1" applyFont="1" applyFill="1" applyBorder="1" applyAlignment="1">
      <alignment horizontal="center" vertical="top" wrapText="1"/>
    </xf>
    <xf numFmtId="1" fontId="164" fillId="0" borderId="0" xfId="0" applyNumberFormat="1" applyFont="1" applyAlignment="1">
      <alignment horizontal="left"/>
    </xf>
    <xf numFmtId="2" fontId="164" fillId="0" borderId="0" xfId="0" applyNumberFormat="1" applyFont="1" applyAlignment="1">
      <alignment horizontal="left" wrapText="1"/>
    </xf>
    <xf numFmtId="2" fontId="165" fillId="0" borderId="0" xfId="0" applyNumberFormat="1" applyFont="1" applyAlignment="1">
      <alignment horizontal="left" vertical="center" wrapText="1"/>
    </xf>
    <xf numFmtId="2" fontId="164" fillId="0" borderId="0" xfId="0" applyNumberFormat="1" applyFont="1" applyAlignment="1">
      <alignment horizontal="left"/>
    </xf>
    <xf numFmtId="2" fontId="106" fillId="0" borderId="0" xfId="0" applyNumberFormat="1" applyFont="1" applyAlignment="1">
      <alignment horizontal="left"/>
    </xf>
    <xf numFmtId="2" fontId="98" fillId="0" borderId="2" xfId="0" applyNumberFormat="1" applyFont="1" applyBorder="1"/>
    <xf numFmtId="0" fontId="157" fillId="61" borderId="2" xfId="0" applyFont="1" applyFill="1" applyBorder="1" applyAlignment="1">
      <alignment horizontal="left"/>
    </xf>
    <xf numFmtId="0" fontId="157" fillId="61" borderId="0" xfId="0" applyFont="1" applyFill="1" applyAlignment="1">
      <alignment horizontal="center"/>
    </xf>
    <xf numFmtId="0" fontId="157" fillId="70" borderId="2" xfId="0" applyFont="1" applyFill="1" applyBorder="1" applyAlignment="1">
      <alignment horizontal="center" vertical="top" wrapText="1"/>
    </xf>
    <xf numFmtId="0" fontId="157" fillId="70" borderId="6" xfId="0" applyFont="1" applyFill="1" applyBorder="1" applyAlignment="1">
      <alignment horizontal="center" vertical="top" wrapText="1"/>
    </xf>
    <xf numFmtId="181" fontId="157" fillId="0" borderId="2" xfId="0" applyNumberFormat="1" applyFont="1" applyBorder="1"/>
    <xf numFmtId="0" fontId="151" fillId="50" borderId="2" xfId="0" applyFont="1" applyFill="1" applyBorder="1" applyAlignment="1">
      <alignment horizontal="center" vertical="top" wrapText="1"/>
    </xf>
    <xf numFmtId="2" fontId="134" fillId="0" borderId="2" xfId="0" applyNumberFormat="1" applyFont="1" applyBorder="1" applyAlignment="1">
      <alignment horizontal="center"/>
    </xf>
    <xf numFmtId="164" fontId="97" fillId="50" borderId="2" xfId="0" applyNumberFormat="1" applyFont="1" applyFill="1" applyBorder="1" applyAlignment="1">
      <alignment horizontal="center" vertical="center" wrapText="1"/>
    </xf>
    <xf numFmtId="3" fontId="131" fillId="0" borderId="2" xfId="0" applyNumberFormat="1" applyFont="1" applyBorder="1" applyProtection="1">
      <protection locked="0"/>
    </xf>
    <xf numFmtId="178" fontId="113" fillId="0" borderId="2" xfId="0" applyNumberFormat="1" applyFont="1" applyBorder="1" applyAlignment="1">
      <alignment horizontal="left" vertical="center"/>
    </xf>
    <xf numFmtId="0" fontId="113" fillId="0" borderId="0" xfId="0" applyFont="1" applyAlignment="1">
      <alignment horizontal="center"/>
    </xf>
    <xf numFmtId="0" fontId="113" fillId="0" borderId="0" xfId="0" applyFont="1"/>
    <xf numFmtId="0" fontId="108" fillId="0" borderId="2" xfId="82" applyFont="1" applyBorder="1" applyAlignment="1">
      <alignment horizontal="left" vertical="center" wrapText="1"/>
    </xf>
    <xf numFmtId="181" fontId="160" fillId="3" borderId="4" xfId="1" applyNumberFormat="1" applyFont="1" applyFill="1" applyBorder="1" applyAlignment="1" applyProtection="1">
      <alignment vertical="center"/>
      <protection locked="0"/>
    </xf>
    <xf numFmtId="178" fontId="57" fillId="0" borderId="2" xfId="0" applyNumberFormat="1" applyFont="1" applyBorder="1" applyAlignment="1">
      <alignment horizontal="left" vertical="center"/>
    </xf>
    <xf numFmtId="0" fontId="54" fillId="0" borderId="39" xfId="0" applyFont="1" applyBorder="1" applyAlignment="1">
      <alignment horizontal="left" vertical="center"/>
    </xf>
    <xf numFmtId="16" fontId="57" fillId="0" borderId="19" xfId="0" applyNumberFormat="1" applyFont="1" applyBorder="1" applyAlignment="1">
      <alignment horizontal="left" vertical="center"/>
    </xf>
    <xf numFmtId="0" fontId="57" fillId="0" borderId="19" xfId="0" applyFont="1" applyBorder="1" applyAlignment="1">
      <alignment horizontal="left" vertical="center"/>
    </xf>
    <xf numFmtId="0" fontId="57" fillId="57" borderId="19" xfId="0" applyFont="1" applyFill="1" applyBorder="1" applyAlignment="1">
      <alignment horizontal="left" vertical="center"/>
    </xf>
    <xf numFmtId="0" fontId="139" fillId="40" borderId="0" xfId="1" applyFont="1" applyFill="1" applyBorder="1" applyAlignment="1" applyProtection="1">
      <alignment horizontal="left" vertical="center"/>
      <protection locked="0"/>
    </xf>
    <xf numFmtId="0" fontId="115" fillId="40" borderId="0" xfId="1" applyFont="1" applyFill="1" applyBorder="1" applyAlignment="1" applyProtection="1">
      <alignment horizontal="center" vertical="center"/>
      <protection locked="0"/>
    </xf>
    <xf numFmtId="49" fontId="115" fillId="40" borderId="0" xfId="1" applyNumberFormat="1" applyFont="1" applyFill="1" applyBorder="1" applyAlignment="1" applyProtection="1">
      <alignment horizontal="center" vertical="center"/>
      <protection locked="0"/>
    </xf>
    <xf numFmtId="0" fontId="139" fillId="40" borderId="0" xfId="1" applyFont="1" applyFill="1" applyBorder="1" applyAlignment="1" applyProtection="1">
      <alignment horizontal="center" vertical="center" textRotation="180"/>
      <protection locked="0"/>
    </xf>
    <xf numFmtId="172" fontId="89" fillId="40" borderId="0" xfId="1" applyNumberFormat="1" applyFont="1" applyFill="1" applyBorder="1" applyAlignment="1" applyProtection="1">
      <alignment vertical="center"/>
      <protection locked="0"/>
    </xf>
    <xf numFmtId="0" fontId="139" fillId="40" borderId="0" xfId="1" applyFont="1" applyFill="1" applyBorder="1" applyAlignment="1" applyProtection="1">
      <alignment horizontal="center" vertical="center"/>
      <protection locked="0"/>
    </xf>
    <xf numFmtId="0" fontId="115" fillId="40" borderId="0" xfId="1" applyFont="1" applyFill="1" applyBorder="1" applyAlignment="1" applyProtection="1">
      <alignment horizontal="left" vertical="center"/>
      <protection locked="0"/>
    </xf>
    <xf numFmtId="0" fontId="111" fillId="37" borderId="0" xfId="1" applyNumberFormat="1" applyFont="1" applyFill="1" applyBorder="1" applyAlignment="1" applyProtection="1">
      <alignment vertical="top" wrapText="1"/>
    </xf>
    <xf numFmtId="0" fontId="167" fillId="37" borderId="0" xfId="1" applyFont="1" applyFill="1" applyBorder="1" applyAlignment="1" applyProtection="1">
      <alignment horizontal="left" vertical="center"/>
    </xf>
    <xf numFmtId="0" fontId="113" fillId="37" borderId="0" xfId="1" applyFont="1" applyFill="1" applyBorder="1" applyAlignment="1" applyProtection="1">
      <alignment horizontal="center" vertical="center"/>
      <protection locked="0"/>
    </xf>
    <xf numFmtId="0" fontId="89" fillId="37" borderId="0" xfId="1" applyFont="1" applyFill="1" applyBorder="1" applyAlignment="1" applyProtection="1">
      <alignment horizontal="center" vertical="center"/>
      <protection locked="0"/>
    </xf>
    <xf numFmtId="0" fontId="89" fillId="37" borderId="0" xfId="1" applyFont="1" applyFill="1" applyBorder="1" applyAlignment="1" applyProtection="1">
      <alignment vertical="center"/>
      <protection locked="0"/>
    </xf>
    <xf numFmtId="0" fontId="89" fillId="37" borderId="8" xfId="1" applyFont="1" applyFill="1" applyBorder="1" applyAlignment="1" applyProtection="1">
      <alignment horizontal="center" vertical="center"/>
      <protection locked="0"/>
    </xf>
    <xf numFmtId="0" fontId="89" fillId="37" borderId="0" xfId="1" applyFont="1" applyFill="1" applyBorder="1" applyAlignment="1" applyProtection="1">
      <alignment vertical="center"/>
    </xf>
    <xf numFmtId="1" fontId="89" fillId="37" borderId="0" xfId="1" applyNumberFormat="1" applyFont="1" applyFill="1" applyBorder="1" applyAlignment="1" applyProtection="1">
      <alignment vertical="center"/>
      <protection locked="0"/>
    </xf>
    <xf numFmtId="0" fontId="89" fillId="0" borderId="44" xfId="1" applyFont="1" applyFill="1" applyBorder="1" applyAlignment="1" applyProtection="1">
      <alignment horizontal="center" vertical="center"/>
    </xf>
    <xf numFmtId="0" fontId="113" fillId="0" borderId="0" xfId="1" applyFont="1" applyFill="1" applyBorder="1" applyAlignment="1" applyProtection="1">
      <alignment vertical="center"/>
    </xf>
    <xf numFmtId="0" fontId="89" fillId="0" borderId="0" xfId="1" applyFont="1" applyFill="1" applyBorder="1" applyAlignment="1" applyProtection="1">
      <alignment horizontal="center" vertical="center"/>
    </xf>
    <xf numFmtId="0" fontId="89" fillId="0" borderId="0" xfId="0" applyFont="1" applyAlignment="1" applyProtection="1">
      <alignment horizontal="center"/>
      <protection locked="0"/>
    </xf>
    <xf numFmtId="0" fontId="113" fillId="3" borderId="5" xfId="1" applyFont="1" applyFill="1" applyBorder="1" applyAlignment="1" applyProtection="1">
      <alignment horizontal="center" vertical="center"/>
      <protection locked="0"/>
    </xf>
    <xf numFmtId="0" fontId="113" fillId="3" borderId="4" xfId="1" applyFont="1" applyFill="1" applyBorder="1" applyAlignment="1" applyProtection="1">
      <alignment horizontal="center" vertical="center"/>
      <protection locked="0"/>
    </xf>
    <xf numFmtId="16" fontId="151" fillId="3" borderId="4" xfId="1" applyNumberFormat="1" applyFont="1" applyFill="1" applyBorder="1" applyAlignment="1" applyProtection="1">
      <alignment horizontal="center" vertical="center"/>
      <protection locked="0"/>
    </xf>
    <xf numFmtId="49" fontId="113" fillId="3" borderId="4" xfId="1" applyNumberFormat="1" applyFont="1" applyFill="1" applyBorder="1" applyAlignment="1" applyProtection="1">
      <alignment horizontal="left" vertical="center"/>
      <protection locked="0"/>
    </xf>
    <xf numFmtId="0" fontId="113" fillId="3" borderId="4" xfId="1" applyFont="1" applyFill="1" applyBorder="1" applyAlignment="1" applyProtection="1">
      <alignment vertical="center" textRotation="180"/>
      <protection locked="0"/>
    </xf>
    <xf numFmtId="172" fontId="113" fillId="3" borderId="4" xfId="1" applyNumberFormat="1" applyFont="1" applyFill="1" applyBorder="1" applyAlignment="1" applyProtection="1">
      <alignment vertical="center"/>
      <protection locked="0"/>
    </xf>
    <xf numFmtId="168" fontId="113" fillId="3" borderId="4" xfId="1" applyNumberFormat="1" applyFont="1" applyFill="1" applyBorder="1" applyAlignment="1" applyProtection="1">
      <alignment horizontal="center" vertical="center"/>
      <protection locked="0"/>
    </xf>
    <xf numFmtId="49" fontId="113" fillId="3" borderId="4" xfId="1" applyNumberFormat="1" applyFont="1" applyFill="1" applyBorder="1" applyAlignment="1" applyProtection="1">
      <alignment vertical="center"/>
      <protection locked="0"/>
    </xf>
    <xf numFmtId="0" fontId="113" fillId="3" borderId="4" xfId="1" applyFont="1" applyFill="1" applyBorder="1" applyAlignment="1" applyProtection="1">
      <alignment vertical="center"/>
      <protection locked="0"/>
    </xf>
    <xf numFmtId="0" fontId="89" fillId="3" borderId="4" xfId="1" applyFont="1" applyFill="1" applyBorder="1" applyAlignment="1" applyProtection="1">
      <alignment horizontal="left" vertical="center"/>
      <protection locked="0"/>
    </xf>
    <xf numFmtId="3" fontId="113" fillId="3" borderId="4" xfId="1" applyNumberFormat="1" applyFont="1" applyFill="1" applyBorder="1" applyAlignment="1" applyProtection="1">
      <alignment vertical="center"/>
      <protection locked="0"/>
    </xf>
    <xf numFmtId="0" fontId="111" fillId="3" borderId="4" xfId="1" applyNumberFormat="1" applyFont="1" applyFill="1" applyBorder="1" applyAlignment="1" applyProtection="1">
      <alignment vertical="top" wrapText="1"/>
    </xf>
    <xf numFmtId="0" fontId="168" fillId="3" borderId="4" xfId="1" applyFont="1" applyFill="1" applyBorder="1" applyAlignment="1" applyProtection="1">
      <alignment horizontal="left" vertical="center"/>
    </xf>
    <xf numFmtId="181" fontId="169" fillId="3" borderId="4" xfId="1" applyNumberFormat="1" applyFont="1" applyFill="1" applyBorder="1" applyAlignment="1" applyProtection="1">
      <alignment vertical="center"/>
      <protection locked="0"/>
    </xf>
    <xf numFmtId="0" fontId="139" fillId="49" borderId="4" xfId="1" applyFont="1" applyFill="1" applyBorder="1" applyAlignment="1" applyProtection="1">
      <alignment vertical="center"/>
    </xf>
    <xf numFmtId="0" fontId="113" fillId="66" borderId="4" xfId="1" applyFont="1" applyFill="1" applyBorder="1" applyAlignment="1" applyProtection="1">
      <alignment vertical="center"/>
      <protection locked="0"/>
    </xf>
    <xf numFmtId="0" fontId="139" fillId="49" borderId="4" xfId="1" applyFont="1" applyFill="1" applyBorder="1" applyAlignment="1" applyProtection="1">
      <alignment vertical="center"/>
      <protection locked="0"/>
    </xf>
    <xf numFmtId="165" fontId="113" fillId="3" borderId="4" xfId="1" applyNumberFormat="1" applyFont="1" applyFill="1" applyBorder="1" applyAlignment="1" applyProtection="1">
      <alignment vertical="center"/>
      <protection locked="0"/>
    </xf>
    <xf numFmtId="3" fontId="113" fillId="66" borderId="4" xfId="1" applyNumberFormat="1" applyFont="1" applyFill="1" applyBorder="1" applyAlignment="1" applyProtection="1">
      <alignment horizontal="center" vertical="center"/>
      <protection locked="0"/>
    </xf>
    <xf numFmtId="3" fontId="151" fillId="50" borderId="4" xfId="1" applyNumberFormat="1" applyFont="1" applyFill="1" applyBorder="1" applyAlignment="1" applyProtection="1">
      <alignment horizontal="center" vertical="center"/>
    </xf>
    <xf numFmtId="3" fontId="113" fillId="66" borderId="4" xfId="1" applyNumberFormat="1" applyFont="1" applyFill="1" applyBorder="1" applyAlignment="1" applyProtection="1">
      <alignment horizontal="center" vertical="center"/>
    </xf>
    <xf numFmtId="3" fontId="113" fillId="52" borderId="4" xfId="1" applyNumberFormat="1" applyFont="1" applyFill="1" applyBorder="1" applyAlignment="1" applyProtection="1">
      <alignment horizontal="left" vertical="center"/>
      <protection locked="0"/>
    </xf>
    <xf numFmtId="3" fontId="113" fillId="52" borderId="4" xfId="1" applyNumberFormat="1" applyFont="1" applyFill="1" applyBorder="1" applyAlignment="1" applyProtection="1">
      <alignment horizontal="center" vertical="center"/>
      <protection locked="0"/>
    </xf>
    <xf numFmtId="3" fontId="113" fillId="52" borderId="4" xfId="1" applyNumberFormat="1" applyFont="1" applyFill="1" applyBorder="1" applyAlignment="1" applyProtection="1">
      <alignment horizontal="center" vertical="center"/>
    </xf>
    <xf numFmtId="3" fontId="113" fillId="58" borderId="4" xfId="1" applyNumberFormat="1" applyFont="1" applyFill="1" applyBorder="1" applyAlignment="1" applyProtection="1">
      <alignment horizontal="center" vertical="center"/>
      <protection locked="0"/>
    </xf>
    <xf numFmtId="3" fontId="113" fillId="58" borderId="4" xfId="1" applyNumberFormat="1" applyFont="1" applyFill="1" applyBorder="1" applyAlignment="1" applyProtection="1">
      <alignment horizontal="center" vertical="center"/>
    </xf>
    <xf numFmtId="3" fontId="113" fillId="57" borderId="4" xfId="1" applyNumberFormat="1" applyFont="1" applyFill="1" applyBorder="1" applyAlignment="1" applyProtection="1">
      <alignment horizontal="center" vertical="center"/>
    </xf>
    <xf numFmtId="3" fontId="113" fillId="57" borderId="4" xfId="1" applyNumberFormat="1" applyFont="1" applyFill="1" applyBorder="1" applyAlignment="1" applyProtection="1">
      <alignment horizontal="center" vertical="center"/>
      <protection locked="0"/>
    </xf>
    <xf numFmtId="3" fontId="113" fillId="3" borderId="4" xfId="1" applyNumberFormat="1" applyFont="1" applyFill="1" applyBorder="1" applyAlignment="1" applyProtection="1">
      <alignment horizontal="left" vertical="center"/>
    </xf>
    <xf numFmtId="1" fontId="113" fillId="3" borderId="4" xfId="1" applyNumberFormat="1" applyFont="1" applyFill="1" applyBorder="1" applyAlignment="1" applyProtection="1">
      <alignment horizontal="center" vertical="center"/>
      <protection locked="0"/>
    </xf>
    <xf numFmtId="0" fontId="113" fillId="2" borderId="4" xfId="1" applyFont="1" applyFill="1" applyBorder="1" applyAlignment="1" applyProtection="1">
      <alignment vertical="center"/>
    </xf>
    <xf numFmtId="0" fontId="113" fillId="0" borderId="4" xfId="1" applyFont="1" applyFill="1" applyBorder="1" applyAlignment="1" applyProtection="1">
      <alignment horizontal="center" vertical="center"/>
    </xf>
    <xf numFmtId="0" fontId="113" fillId="2" borderId="4" xfId="1" applyFont="1" applyFill="1" applyBorder="1" applyAlignment="1" applyProtection="1">
      <alignment horizontal="center" vertical="center"/>
    </xf>
    <xf numFmtId="0" fontId="113" fillId="69" borderId="4" xfId="1" applyFont="1" applyFill="1" applyBorder="1" applyAlignment="1" applyProtection="1">
      <alignment horizontal="center" vertical="center"/>
    </xf>
    <xf numFmtId="0" fontId="113" fillId="54" borderId="4" xfId="1" applyFont="1" applyFill="1" applyBorder="1" applyAlignment="1" applyProtection="1">
      <alignment vertical="center"/>
    </xf>
    <xf numFmtId="0" fontId="113" fillId="54" borderId="4" xfId="1" applyFont="1" applyFill="1" applyBorder="1" applyAlignment="1" applyProtection="1">
      <alignment horizontal="center" vertical="center"/>
    </xf>
    <xf numFmtId="0" fontId="113" fillId="48" borderId="4" xfId="1" applyFont="1" applyFill="1" applyBorder="1" applyAlignment="1" applyProtection="1">
      <alignment vertical="center"/>
    </xf>
    <xf numFmtId="0" fontId="113" fillId="48" borderId="4" xfId="1" applyFont="1" applyFill="1" applyBorder="1" applyAlignment="1" applyProtection="1">
      <alignment horizontal="center" vertical="center"/>
    </xf>
    <xf numFmtId="0" fontId="113" fillId="56" borderId="4" xfId="1" applyFont="1" applyFill="1" applyBorder="1" applyAlignment="1" applyProtection="1">
      <alignment horizontal="center" vertical="center"/>
    </xf>
    <xf numFmtId="0" fontId="113" fillId="52" borderId="4" xfId="1" applyFont="1" applyFill="1" applyBorder="1" applyAlignment="1" applyProtection="1">
      <alignment horizontal="center" vertical="center"/>
    </xf>
    <xf numFmtId="0" fontId="113" fillId="53" borderId="4" xfId="1" applyFont="1" applyFill="1" applyBorder="1" applyAlignment="1" applyProtection="1">
      <alignment horizontal="center" vertical="center"/>
    </xf>
    <xf numFmtId="0" fontId="170" fillId="59" borderId="4" xfId="1" applyFont="1" applyFill="1" applyBorder="1" applyAlignment="1" applyProtection="1">
      <alignment horizontal="center" vertical="center"/>
    </xf>
    <xf numFmtId="1" fontId="113" fillId="0" borderId="4" xfId="1" applyNumberFormat="1" applyFont="1" applyFill="1" applyBorder="1" applyAlignment="1" applyProtection="1">
      <alignment vertical="center"/>
      <protection locked="0"/>
    </xf>
    <xf numFmtId="0" fontId="113" fillId="0" borderId="4" xfId="1" applyFont="1" applyFill="1" applyBorder="1" applyAlignment="1" applyProtection="1">
      <alignment horizontal="center" vertical="center"/>
      <protection locked="0"/>
    </xf>
    <xf numFmtId="0" fontId="154" fillId="53" borderId="48" xfId="1" applyFont="1" applyFill="1" applyBorder="1" applyAlignment="1" applyProtection="1">
      <alignment horizontal="center" vertical="center" wrapText="1"/>
      <protection locked="0"/>
    </xf>
    <xf numFmtId="0" fontId="154" fillId="53" borderId="25" xfId="1" applyFont="1" applyFill="1" applyBorder="1" applyAlignment="1" applyProtection="1">
      <alignment horizontal="center" vertical="center" wrapText="1"/>
      <protection locked="0"/>
    </xf>
    <xf numFmtId="49" fontId="154" fillId="53" borderId="25" xfId="1" applyNumberFormat="1" applyFont="1" applyFill="1" applyBorder="1" applyAlignment="1" applyProtection="1">
      <alignment horizontal="center" vertical="center" wrapText="1"/>
      <protection locked="0"/>
    </xf>
    <xf numFmtId="16" fontId="154" fillId="53" borderId="25" xfId="1" applyNumberFormat="1" applyFont="1" applyFill="1" applyBorder="1" applyAlignment="1" applyProtection="1">
      <alignment horizontal="center" vertical="center" textRotation="180" wrapText="1"/>
      <protection locked="0"/>
    </xf>
    <xf numFmtId="172" fontId="113" fillId="53" borderId="25" xfId="1" applyNumberFormat="1" applyFont="1" applyFill="1" applyBorder="1" applyAlignment="1" applyProtection="1">
      <alignment horizontal="left" vertical="center" wrapText="1"/>
      <protection locked="0"/>
    </xf>
    <xf numFmtId="168" fontId="154" fillId="53" borderId="25" xfId="1" applyNumberFormat="1" applyFont="1" applyFill="1" applyBorder="1" applyAlignment="1" applyProtection="1">
      <alignment horizontal="center" vertical="center" wrapText="1"/>
      <protection locked="0"/>
    </xf>
    <xf numFmtId="49" fontId="154" fillId="0" borderId="25" xfId="1" applyNumberFormat="1" applyFont="1" applyFill="1" applyBorder="1" applyAlignment="1" applyProtection="1">
      <alignment horizontal="center" vertical="center" wrapText="1"/>
      <protection locked="0"/>
    </xf>
    <xf numFmtId="0" fontId="171" fillId="4" borderId="25" xfId="1" applyFont="1" applyFill="1" applyBorder="1" applyAlignment="1" applyProtection="1">
      <alignment horizontal="left" vertical="center" wrapText="1"/>
      <protection locked="0"/>
    </xf>
    <xf numFmtId="0" fontId="111" fillId="4" borderId="3" xfId="1" applyNumberFormat="1" applyFont="1" applyFill="1" applyBorder="1" applyAlignment="1" applyProtection="1">
      <alignment vertical="top" wrapText="1"/>
    </xf>
    <xf numFmtId="15" fontId="168" fillId="4" borderId="3" xfId="1" applyNumberFormat="1" applyFont="1" applyFill="1" applyBorder="1" applyAlignment="1" applyProtection="1">
      <alignment horizontal="left" vertical="center" wrapText="1"/>
    </xf>
    <xf numFmtId="2" fontId="154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154" fillId="4" borderId="3" xfId="1" applyFont="1" applyFill="1" applyBorder="1" applyAlignment="1" applyProtection="1">
      <alignment horizontal="center" vertical="center" wrapText="1"/>
      <protection locked="0"/>
    </xf>
    <xf numFmtId="0" fontId="139" fillId="49" borderId="3" xfId="1" applyFont="1" applyFill="1" applyBorder="1" applyAlignment="1" applyProtection="1">
      <alignment horizontal="center" vertical="top" wrapText="1"/>
    </xf>
    <xf numFmtId="0" fontId="154" fillId="66" borderId="3" xfId="1" applyFont="1" applyFill="1" applyBorder="1" applyAlignment="1" applyProtection="1">
      <alignment horizontal="center" vertical="center" wrapText="1"/>
      <protection locked="0"/>
    </xf>
    <xf numFmtId="0" fontId="154" fillId="66" borderId="7" xfId="1" applyFont="1" applyFill="1" applyBorder="1" applyAlignment="1" applyProtection="1">
      <alignment horizontal="center" vertical="center" wrapText="1"/>
      <protection locked="0"/>
    </xf>
    <xf numFmtId="1" fontId="113" fillId="50" borderId="3" xfId="1" applyNumberFormat="1" applyFont="1" applyFill="1" applyBorder="1" applyAlignment="1" applyProtection="1">
      <alignment horizontal="center" vertical="center" wrapText="1"/>
      <protection locked="0"/>
    </xf>
    <xf numFmtId="164" fontId="139" fillId="66" borderId="28" xfId="1" applyNumberFormat="1" applyFont="1" applyFill="1" applyBorder="1" applyAlignment="1" applyProtection="1">
      <alignment horizontal="center" vertical="center" wrapText="1"/>
      <protection locked="0"/>
    </xf>
    <xf numFmtId="0" fontId="139" fillId="49" borderId="3" xfId="1" applyFont="1" applyFill="1" applyBorder="1" applyAlignment="1" applyProtection="1">
      <alignment horizontal="center" vertical="center" wrapText="1"/>
      <protection locked="0"/>
    </xf>
    <xf numFmtId="165" fontId="154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154" fillId="50" borderId="3" xfId="1" applyFont="1" applyFill="1" applyBorder="1" applyAlignment="1" applyProtection="1">
      <alignment horizontal="center" vertical="center" wrapText="1"/>
      <protection locked="0"/>
    </xf>
    <xf numFmtId="3" fontId="154" fillId="66" borderId="3" xfId="1" applyNumberFormat="1" applyFont="1" applyFill="1" applyBorder="1" applyAlignment="1" applyProtection="1">
      <alignment horizontal="center" vertical="top" wrapText="1"/>
      <protection locked="0"/>
    </xf>
    <xf numFmtId="3" fontId="154" fillId="50" borderId="3" xfId="1" applyNumberFormat="1" applyFont="1" applyFill="1" applyBorder="1" applyAlignment="1" applyProtection="1">
      <alignment horizontal="center" vertical="top" wrapText="1"/>
    </xf>
    <xf numFmtId="3" fontId="154" fillId="66" borderId="3" xfId="1" applyNumberFormat="1" applyFont="1" applyFill="1" applyBorder="1" applyAlignment="1" applyProtection="1">
      <alignment horizontal="center" vertical="top" wrapText="1"/>
    </xf>
    <xf numFmtId="3" fontId="154" fillId="52" borderId="3" xfId="1" applyNumberFormat="1" applyFont="1" applyFill="1" applyBorder="1" applyAlignment="1" applyProtection="1">
      <alignment horizontal="center" vertical="center" wrapText="1"/>
      <protection locked="0"/>
    </xf>
    <xf numFmtId="3" fontId="154" fillId="50" borderId="3" xfId="1" applyNumberFormat="1" applyFont="1" applyFill="1" applyBorder="1" applyAlignment="1" applyProtection="1">
      <alignment horizontal="center" vertical="center" wrapText="1"/>
    </xf>
    <xf numFmtId="3" fontId="154" fillId="52" borderId="3" xfId="1" applyNumberFormat="1" applyFont="1" applyFill="1" applyBorder="1" applyAlignment="1" applyProtection="1">
      <alignment horizontal="center" vertical="center" wrapText="1"/>
    </xf>
    <xf numFmtId="3" fontId="154" fillId="53" borderId="3" xfId="1" applyNumberFormat="1" applyFont="1" applyFill="1" applyBorder="1" applyAlignment="1" applyProtection="1">
      <alignment horizontal="center" vertical="center" wrapText="1"/>
      <protection locked="0"/>
    </xf>
    <xf numFmtId="3" fontId="154" fillId="53" borderId="3" xfId="1" applyNumberFormat="1" applyFont="1" applyFill="1" applyBorder="1" applyAlignment="1" applyProtection="1">
      <alignment horizontal="center" vertical="center" wrapText="1"/>
    </xf>
    <xf numFmtId="3" fontId="154" fillId="57" borderId="3" xfId="1" applyNumberFormat="1" applyFont="1" applyFill="1" applyBorder="1" applyAlignment="1" applyProtection="1">
      <alignment horizontal="center" vertical="center" wrapText="1"/>
    </xf>
    <xf numFmtId="3" fontId="154" fillId="57" borderId="3" xfId="1" applyNumberFormat="1" applyFont="1" applyFill="1" applyBorder="1" applyAlignment="1" applyProtection="1">
      <alignment horizontal="center" vertical="center" wrapText="1"/>
      <protection locked="0"/>
    </xf>
    <xf numFmtId="3" fontId="139" fillId="49" borderId="3" xfId="1" applyNumberFormat="1" applyFont="1" applyFill="1" applyBorder="1" applyAlignment="1" applyProtection="1">
      <alignment horizontal="left" vertical="center" wrapText="1"/>
    </xf>
    <xf numFmtId="1" fontId="139" fillId="40" borderId="3" xfId="1" applyNumberFormat="1" applyFont="1" applyFill="1" applyBorder="1" applyAlignment="1" applyProtection="1">
      <alignment horizontal="center" vertical="center" wrapText="1"/>
      <protection locked="0"/>
    </xf>
    <xf numFmtId="0" fontId="154" fillId="4" borderId="7" xfId="1" applyFont="1" applyFill="1" applyBorder="1" applyAlignment="1" applyProtection="1">
      <alignment horizontal="center" vertical="center" wrapText="1"/>
    </xf>
    <xf numFmtId="0" fontId="154" fillId="45" borderId="49" xfId="1" applyFont="1" applyFill="1" applyBorder="1" applyAlignment="1" applyProtection="1">
      <alignment horizontal="center" vertical="center" wrapText="1"/>
    </xf>
    <xf numFmtId="0" fontId="154" fillId="4" borderId="28" xfId="1" applyFont="1" applyFill="1" applyBorder="1" applyAlignment="1" applyProtection="1">
      <alignment horizontal="center" vertical="center" wrapText="1"/>
    </xf>
    <xf numFmtId="0" fontId="154" fillId="50" borderId="3" xfId="1" applyFont="1" applyFill="1" applyBorder="1" applyAlignment="1" applyProtection="1">
      <alignment horizontal="center" vertical="center" wrapText="1"/>
    </xf>
    <xf numFmtId="0" fontId="154" fillId="55" borderId="3" xfId="1" applyFont="1" applyFill="1" applyBorder="1" applyAlignment="1" applyProtection="1">
      <alignment horizontal="center" vertical="center" wrapText="1"/>
    </xf>
    <xf numFmtId="0" fontId="151" fillId="50" borderId="7" xfId="1" applyFont="1" applyFill="1" applyBorder="1" applyAlignment="1" applyProtection="1">
      <alignment horizontal="center" vertical="center" wrapText="1"/>
    </xf>
    <xf numFmtId="0" fontId="154" fillId="54" borderId="0" xfId="1" applyFont="1" applyFill="1" applyBorder="1" applyAlignment="1" applyProtection="1">
      <alignment horizontal="center" vertical="center" wrapText="1"/>
    </xf>
    <xf numFmtId="0" fontId="154" fillId="55" borderId="28" xfId="1" applyFont="1" applyFill="1" applyBorder="1" applyAlignment="1" applyProtection="1">
      <alignment horizontal="center" vertical="center" wrapText="1"/>
    </xf>
    <xf numFmtId="0" fontId="154" fillId="56" borderId="0" xfId="1" applyFont="1" applyFill="1" applyBorder="1" applyAlignment="1" applyProtection="1">
      <alignment horizontal="center" vertical="center" wrapText="1"/>
    </xf>
    <xf numFmtId="0" fontId="154" fillId="52" borderId="0" xfId="1" applyFont="1" applyFill="1" applyBorder="1" applyAlignment="1" applyProtection="1">
      <alignment horizontal="center" vertical="center" wrapText="1"/>
    </xf>
    <xf numFmtId="0" fontId="154" fillId="53" borderId="0" xfId="1" applyFont="1" applyFill="1" applyBorder="1" applyAlignment="1" applyProtection="1">
      <alignment horizontal="center" vertical="center" wrapText="1"/>
    </xf>
    <xf numFmtId="0" fontId="172" fillId="59" borderId="3" xfId="1" applyFont="1" applyFill="1" applyBorder="1" applyAlignment="1" applyProtection="1">
      <alignment horizontal="center" vertical="center" wrapText="1"/>
    </xf>
    <xf numFmtId="1" fontId="113" fillId="0" borderId="3" xfId="1" applyNumberFormat="1" applyFont="1" applyFill="1" applyBorder="1" applyAlignment="1" applyProtection="1">
      <alignment vertical="center" wrapText="1"/>
      <protection locked="0"/>
    </xf>
    <xf numFmtId="0" fontId="154" fillId="0" borderId="0" xfId="1" applyFont="1" applyFill="1" applyBorder="1" applyAlignment="1" applyProtection="1">
      <alignment horizontal="center" vertical="center" wrapText="1"/>
      <protection locked="0"/>
    </xf>
    <xf numFmtId="0" fontId="154" fillId="53" borderId="2" xfId="1" applyFont="1" applyFill="1" applyBorder="1" applyAlignment="1" applyProtection="1">
      <alignment horizontal="center" vertical="center" wrapText="1"/>
      <protection locked="0"/>
    </xf>
    <xf numFmtId="0" fontId="154" fillId="50" borderId="2" xfId="1" applyFont="1" applyFill="1" applyBorder="1" applyAlignment="1" applyProtection="1">
      <alignment horizontal="center" vertical="center" wrapText="1"/>
      <protection locked="0"/>
    </xf>
    <xf numFmtId="0" fontId="89" fillId="0" borderId="0" xfId="0" applyFont="1" applyProtection="1">
      <protection locked="0"/>
    </xf>
    <xf numFmtId="0" fontId="89" fillId="0" borderId="2" xfId="1" applyFont="1" applyFill="1" applyBorder="1" applyAlignment="1" applyProtection="1">
      <alignment horizontal="center" vertical="center"/>
      <protection locked="0"/>
    </xf>
    <xf numFmtId="1" fontId="89" fillId="0" borderId="2" xfId="1" applyNumberFormat="1" applyFont="1" applyFill="1" applyBorder="1" applyAlignment="1" applyProtection="1">
      <alignment horizontal="center" vertical="center"/>
      <protection locked="0"/>
    </xf>
    <xf numFmtId="2" fontId="89" fillId="47" borderId="2" xfId="41" applyNumberFormat="1" applyFont="1" applyFill="1" applyBorder="1" applyAlignment="1" applyProtection="1">
      <alignment horizontal="left"/>
      <protection locked="0"/>
    </xf>
    <xf numFmtId="16" fontId="101" fillId="0" borderId="2" xfId="1" applyNumberFormat="1" applyFont="1" applyFill="1" applyBorder="1" applyAlignment="1" applyProtection="1">
      <alignment horizontal="left" vertical="center"/>
      <protection locked="0"/>
    </xf>
    <xf numFmtId="0" fontId="101" fillId="0" borderId="2" xfId="1" applyNumberFormat="1" applyFont="1" applyFill="1" applyBorder="1" applyAlignment="1" applyProtection="1">
      <alignment horizontal="left" vertical="center"/>
      <protection locked="0"/>
    </xf>
    <xf numFmtId="49" fontId="89" fillId="0" borderId="2" xfId="1" applyNumberFormat="1" applyFont="1" applyFill="1" applyBorder="1" applyAlignment="1" applyProtection="1">
      <alignment horizontal="left" vertical="center"/>
      <protection locked="0"/>
    </xf>
    <xf numFmtId="169" fontId="113" fillId="0" borderId="2" xfId="1" applyNumberFormat="1" applyFont="1" applyFill="1" applyBorder="1" applyAlignment="1" applyProtection="1">
      <alignment horizontal="left" vertical="center" textRotation="180"/>
      <protection locked="0"/>
    </xf>
    <xf numFmtId="0" fontId="113" fillId="66" borderId="2" xfId="1" applyFont="1" applyFill="1" applyBorder="1" applyAlignment="1" applyProtection="1">
      <alignment horizontal="left" vertical="center"/>
      <protection locked="0"/>
    </xf>
    <xf numFmtId="0" fontId="173" fillId="67" borderId="2" xfId="0" applyFont="1" applyFill="1" applyBorder="1" applyAlignment="1" applyProtection="1">
      <alignment vertical="center"/>
      <protection locked="0"/>
    </xf>
    <xf numFmtId="0" fontId="113" fillId="0" borderId="2" xfId="0" applyFont="1" applyBorder="1"/>
    <xf numFmtId="0" fontId="111" fillId="76" borderId="2" xfId="1" applyNumberFormat="1" applyFont="1" applyFill="1" applyBorder="1" applyAlignment="1" applyProtection="1">
      <alignment vertical="top" wrapText="1"/>
    </xf>
    <xf numFmtId="168" fontId="174" fillId="71" borderId="5" xfId="1" applyNumberFormat="1" applyFont="1" applyFill="1" applyBorder="1" applyAlignment="1" applyProtection="1">
      <alignment horizontal="center" vertical="center"/>
    </xf>
    <xf numFmtId="2" fontId="113" fillId="0" borderId="6" xfId="45" applyNumberFormat="1" applyFont="1" applyFill="1" applyBorder="1" applyAlignment="1" applyProtection="1">
      <alignment horizontal="center" vertical="center"/>
      <protection locked="0"/>
    </xf>
    <xf numFmtId="164" fontId="89" fillId="0" borderId="2" xfId="1" applyNumberFormat="1" applyFont="1" applyFill="1" applyBorder="1" applyAlignment="1" applyProtection="1">
      <alignment horizontal="center" vertical="center"/>
      <protection locked="0"/>
    </xf>
    <xf numFmtId="1" fontId="89" fillId="54" borderId="5" xfId="1" applyNumberFormat="1" applyFont="1" applyFill="1" applyBorder="1" applyAlignment="1" applyProtection="1">
      <alignment horizontal="center" vertical="center"/>
    </xf>
    <xf numFmtId="164" fontId="89" fillId="62" borderId="2" xfId="1" applyNumberFormat="1" applyFont="1" applyFill="1" applyBorder="1" applyAlignment="1" applyProtection="1">
      <alignment horizontal="center" vertical="center"/>
    </xf>
    <xf numFmtId="170" fontId="89" fillId="0" borderId="6" xfId="45" applyNumberFormat="1" applyFont="1" applyFill="1" applyBorder="1" applyAlignment="1" applyProtection="1">
      <alignment horizontal="center" vertical="center"/>
      <protection locked="0"/>
    </xf>
    <xf numFmtId="174" fontId="89" fillId="0" borderId="5" xfId="1" applyNumberFormat="1" applyFont="1" applyFill="1" applyBorder="1" applyAlignment="1" applyProtection="1">
      <alignment horizontal="center" vertical="center"/>
      <protection locked="0"/>
    </xf>
    <xf numFmtId="1" fontId="113" fillId="72" borderId="8" xfId="1" applyNumberFormat="1" applyFont="1" applyFill="1" applyBorder="1" applyAlignment="1" applyProtection="1">
      <alignment horizontal="center" vertical="center"/>
      <protection locked="0"/>
    </xf>
    <xf numFmtId="164" fontId="89" fillId="0" borderId="4" xfId="1" applyNumberFormat="1" applyFont="1" applyFill="1" applyBorder="1" applyAlignment="1" applyProtection="1">
      <alignment horizontal="center" vertical="center"/>
      <protection locked="0"/>
    </xf>
    <xf numFmtId="170" fontId="89" fillId="50" borderId="2" xfId="45" applyNumberFormat="1" applyFont="1" applyFill="1" applyBorder="1" applyAlignment="1" applyProtection="1">
      <alignment horizontal="center" vertical="center"/>
      <protection locked="0"/>
    </xf>
    <xf numFmtId="171" fontId="89" fillId="0" borderId="2" xfId="45" applyNumberFormat="1" applyFont="1" applyFill="1" applyBorder="1" applyAlignment="1" applyProtection="1">
      <alignment horizontal="center" vertical="center"/>
      <protection locked="0"/>
    </xf>
    <xf numFmtId="3" fontId="89" fillId="0" borderId="6" xfId="45" applyNumberFormat="1" applyFont="1" applyFill="1" applyBorder="1" applyAlignment="1" applyProtection="1">
      <alignment horizontal="center" vertical="center"/>
      <protection locked="0"/>
    </xf>
    <xf numFmtId="166" fontId="89" fillId="0" borderId="2" xfId="1" applyNumberFormat="1" applyFont="1" applyFill="1" applyBorder="1" applyAlignment="1" applyProtection="1">
      <alignment horizontal="center" vertical="center"/>
      <protection locked="0"/>
    </xf>
    <xf numFmtId="175" fontId="89" fillId="0" borderId="6" xfId="1" applyNumberFormat="1" applyFont="1" applyFill="1" applyBorder="1" applyAlignment="1" applyProtection="1">
      <alignment horizontal="center" vertical="center"/>
      <protection locked="0"/>
    </xf>
    <xf numFmtId="3" fontId="89" fillId="0" borderId="6" xfId="1" applyNumberFormat="1" applyFont="1" applyFill="1" applyBorder="1" applyAlignment="1" applyProtection="1">
      <alignment horizontal="center" vertical="center"/>
      <protection locked="0"/>
    </xf>
    <xf numFmtId="3" fontId="89" fillId="66" borderId="6" xfId="1" applyNumberFormat="1" applyFont="1" applyFill="1" applyBorder="1" applyAlignment="1" applyProtection="1">
      <alignment horizontal="center" vertical="center"/>
    </xf>
    <xf numFmtId="3" fontId="89" fillId="52" borderId="6" xfId="1" applyNumberFormat="1" applyFont="1" applyFill="1" applyBorder="1" applyAlignment="1" applyProtection="1">
      <alignment horizontal="center" vertical="center"/>
      <protection locked="0"/>
    </xf>
    <xf numFmtId="3" fontId="89" fillId="52" borderId="6" xfId="1" applyNumberFormat="1" applyFont="1" applyFill="1" applyBorder="1" applyAlignment="1" applyProtection="1">
      <alignment horizontal="center" vertical="center"/>
    </xf>
    <xf numFmtId="3" fontId="89" fillId="53" borderId="6" xfId="1" applyNumberFormat="1" applyFont="1" applyFill="1" applyBorder="1" applyAlignment="1" applyProtection="1">
      <alignment horizontal="center" vertical="center"/>
      <protection locked="0"/>
    </xf>
    <xf numFmtId="3" fontId="89" fillId="53" borderId="6" xfId="1" applyNumberFormat="1" applyFont="1" applyFill="1" applyBorder="1" applyAlignment="1" applyProtection="1">
      <alignment horizontal="center" vertical="center"/>
    </xf>
    <xf numFmtId="3" fontId="89" fillId="57" borderId="6" xfId="1" applyNumberFormat="1" applyFont="1" applyFill="1" applyBorder="1" applyAlignment="1" applyProtection="1">
      <alignment horizontal="center" vertical="center"/>
    </xf>
    <xf numFmtId="3" fontId="89" fillId="60" borderId="6" xfId="1" applyNumberFormat="1" applyFont="1" applyFill="1" applyBorder="1" applyAlignment="1" applyProtection="1">
      <alignment horizontal="left" vertical="center"/>
    </xf>
    <xf numFmtId="1" fontId="89" fillId="0" borderId="6" xfId="1" applyNumberFormat="1" applyFont="1" applyFill="1" applyBorder="1" applyAlignment="1" applyProtection="1">
      <alignment horizontal="center" vertical="center"/>
      <protection locked="0"/>
    </xf>
    <xf numFmtId="0" fontId="175" fillId="71" borderId="2" xfId="0" applyFont="1" applyFill="1" applyBorder="1"/>
    <xf numFmtId="0" fontId="89" fillId="71" borderId="2" xfId="1" applyFont="1" applyFill="1" applyBorder="1" applyAlignment="1" applyProtection="1">
      <alignment vertical="center"/>
    </xf>
    <xf numFmtId="166" fontId="89" fillId="71" borderId="2" xfId="1" applyNumberFormat="1" applyFont="1" applyFill="1" applyBorder="1" applyAlignment="1" applyProtection="1">
      <alignment vertical="center"/>
    </xf>
    <xf numFmtId="1" fontId="89" fillId="71" borderId="5" xfId="1" applyNumberFormat="1" applyFont="1" applyFill="1" applyBorder="1" applyAlignment="1" applyProtection="1">
      <alignment horizontal="center" vertical="center"/>
    </xf>
    <xf numFmtId="1" fontId="89" fillId="45" borderId="43" xfId="1" applyNumberFormat="1" applyFont="1" applyFill="1" applyBorder="1" applyAlignment="1" applyProtection="1">
      <alignment horizontal="center" vertical="center"/>
    </xf>
    <xf numFmtId="1" fontId="89" fillId="71" borderId="6" xfId="1" applyNumberFormat="1" applyFont="1" applyFill="1" applyBorder="1" applyAlignment="1" applyProtection="1">
      <alignment horizontal="center" vertical="center"/>
    </xf>
    <xf numFmtId="1" fontId="89" fillId="0" borderId="2" xfId="1" applyNumberFormat="1" applyFont="1" applyFill="1" applyBorder="1" applyAlignment="1" applyProtection="1">
      <alignment horizontal="center" vertical="center"/>
    </xf>
    <xf numFmtId="1" fontId="89" fillId="71" borderId="5" xfId="1" applyNumberFormat="1" applyFont="1" applyFill="1" applyBorder="1" applyAlignment="1" applyProtection="1">
      <alignment horizontal="right" vertical="center"/>
    </xf>
    <xf numFmtId="1" fontId="89" fillId="45" borderId="43" xfId="1" applyNumberFormat="1" applyFont="1" applyFill="1" applyBorder="1" applyAlignment="1" applyProtection="1">
      <alignment horizontal="right" vertical="center"/>
    </xf>
    <xf numFmtId="1" fontId="89" fillId="71" borderId="6" xfId="1" applyNumberFormat="1" applyFont="1" applyFill="1" applyBorder="1" applyAlignment="1" applyProtection="1">
      <alignment horizontal="right" vertical="center"/>
    </xf>
    <xf numFmtId="1" fontId="89" fillId="71" borderId="2" xfId="1" applyNumberFormat="1" applyFont="1" applyFill="1" applyBorder="1" applyAlignment="1" applyProtection="1">
      <alignment horizontal="right" vertical="center"/>
    </xf>
    <xf numFmtId="174" fontId="89" fillId="71" borderId="2" xfId="1" applyNumberFormat="1" applyFont="1" applyFill="1" applyBorder="1" applyAlignment="1" applyProtection="1">
      <alignment horizontal="center" vertical="center"/>
    </xf>
    <xf numFmtId="1" fontId="89" fillId="71" borderId="2" xfId="1" applyNumberFormat="1" applyFont="1" applyFill="1" applyBorder="1" applyAlignment="1" applyProtection="1">
      <alignment horizontal="center" vertical="center"/>
    </xf>
    <xf numFmtId="1" fontId="89" fillId="45" borderId="2" xfId="1" applyNumberFormat="1" applyFont="1" applyFill="1" applyBorder="1" applyAlignment="1" applyProtection="1">
      <alignment horizontal="center" vertical="center"/>
    </xf>
    <xf numFmtId="1" fontId="89" fillId="48" borderId="5" xfId="1" applyNumberFormat="1" applyFont="1" applyFill="1" applyBorder="1" applyAlignment="1" applyProtection="1">
      <alignment horizontal="center" vertical="center"/>
    </xf>
    <xf numFmtId="1" fontId="89" fillId="54" borderId="0" xfId="1" applyNumberFormat="1" applyFont="1" applyFill="1" applyBorder="1" applyAlignment="1" applyProtection="1">
      <alignment horizontal="center" vertical="center"/>
    </xf>
    <xf numFmtId="43" fontId="89" fillId="56" borderId="0" xfId="1" applyNumberFormat="1" applyFont="1" applyFill="1" applyBorder="1" applyAlignment="1" applyProtection="1">
      <alignment vertical="center"/>
    </xf>
    <xf numFmtId="0" fontId="89" fillId="56" borderId="0" xfId="1" applyNumberFormat="1" applyFont="1" applyFill="1" applyBorder="1" applyAlignment="1" applyProtection="1">
      <alignment vertical="center"/>
    </xf>
    <xf numFmtId="0" fontId="89" fillId="52" borderId="0" xfId="1" applyFont="1" applyFill="1" applyBorder="1" applyAlignment="1" applyProtection="1">
      <alignment vertical="center"/>
    </xf>
    <xf numFmtId="43" fontId="89" fillId="52" borderId="0" xfId="1" applyNumberFormat="1" applyFont="1" applyFill="1" applyBorder="1" applyAlignment="1" applyProtection="1">
      <alignment vertical="center"/>
    </xf>
    <xf numFmtId="0" fontId="89" fillId="53" borderId="0" xfId="1" applyFont="1" applyFill="1" applyBorder="1" applyAlignment="1" applyProtection="1">
      <alignment vertical="center"/>
    </xf>
    <xf numFmtId="0" fontId="176" fillId="59" borderId="2" xfId="1" applyFont="1" applyFill="1" applyBorder="1" applyAlignment="1" applyProtection="1">
      <alignment vertical="center"/>
    </xf>
    <xf numFmtId="2" fontId="89" fillId="0" borderId="0" xfId="1" applyNumberFormat="1" applyFont="1" applyFill="1" applyBorder="1" applyAlignment="1" applyProtection="1">
      <alignment vertical="center"/>
      <protection locked="0"/>
    </xf>
    <xf numFmtId="3" fontId="113" fillId="0" borderId="2" xfId="1" applyNumberFormat="1" applyFont="1" applyFill="1" applyBorder="1" applyAlignment="1" applyProtection="1">
      <alignment horizontal="center" vertical="center"/>
      <protection locked="0"/>
    </xf>
    <xf numFmtId="0" fontId="89" fillId="0" borderId="28" xfId="0" applyFont="1" applyBorder="1" applyAlignment="1">
      <alignment horizontal="left"/>
    </xf>
    <xf numFmtId="0" fontId="89" fillId="0" borderId="0" xfId="0" applyFont="1"/>
    <xf numFmtId="49" fontId="89" fillId="0" borderId="0" xfId="0" applyNumberFormat="1" applyFont="1" applyProtection="1">
      <protection locked="0"/>
    </xf>
    <xf numFmtId="0" fontId="113" fillId="0" borderId="0" xfId="0" applyFont="1" applyAlignment="1" applyProtection="1">
      <alignment textRotation="180"/>
      <protection locked="0"/>
    </xf>
    <xf numFmtId="172" fontId="89" fillId="0" borderId="0" xfId="0" applyNumberFormat="1" applyFont="1" applyProtection="1">
      <protection locked="0"/>
    </xf>
    <xf numFmtId="0" fontId="113" fillId="0" borderId="0" xfId="0" applyFont="1" applyProtection="1">
      <protection locked="0"/>
    </xf>
    <xf numFmtId="0" fontId="89" fillId="0" borderId="0" xfId="0" applyFont="1" applyAlignment="1" applyProtection="1">
      <alignment horizontal="left"/>
      <protection locked="0"/>
    </xf>
    <xf numFmtId="0" fontId="111" fillId="0" borderId="0" xfId="0" applyFont="1" applyAlignment="1">
      <alignment vertical="top" wrapText="1"/>
    </xf>
    <xf numFmtId="0" fontId="168" fillId="0" borderId="0" xfId="0" applyFont="1" applyAlignment="1">
      <alignment horizontal="left"/>
    </xf>
    <xf numFmtId="1" fontId="89" fillId="0" borderId="0" xfId="0" applyNumberFormat="1" applyFont="1" applyProtection="1">
      <protection locked="0"/>
    </xf>
    <xf numFmtId="164" fontId="89" fillId="0" borderId="0" xfId="0" applyNumberFormat="1" applyFont="1" applyAlignment="1" applyProtection="1">
      <alignment horizontal="center"/>
      <protection locked="0"/>
    </xf>
    <xf numFmtId="3" fontId="89" fillId="0" borderId="0" xfId="0" applyNumberFormat="1" applyFont="1" applyProtection="1">
      <protection locked="0"/>
    </xf>
    <xf numFmtId="3" fontId="89" fillId="0" borderId="0" xfId="0" applyNumberFormat="1" applyFont="1"/>
    <xf numFmtId="3" fontId="89" fillId="0" borderId="0" xfId="0" applyNumberFormat="1" applyFont="1" applyAlignment="1">
      <alignment horizontal="left"/>
    </xf>
    <xf numFmtId="0" fontId="176" fillId="0" borderId="0" xfId="0" applyFont="1"/>
    <xf numFmtId="1" fontId="113" fillId="0" borderId="0" xfId="0" applyNumberFormat="1" applyFont="1" applyProtection="1">
      <protection locked="0"/>
    </xf>
    <xf numFmtId="3" fontId="108" fillId="37" borderId="0" xfId="1" applyNumberFormat="1" applyFont="1" applyFill="1" applyBorder="1" applyAlignment="1" applyProtection="1">
      <alignment vertical="center"/>
      <protection locked="0"/>
    </xf>
    <xf numFmtId="3" fontId="123" fillId="50" borderId="3" xfId="1" applyNumberFormat="1" applyFont="1" applyFill="1" applyBorder="1" applyAlignment="1" applyProtection="1">
      <alignment vertical="center" wrapText="1"/>
      <protection locked="0"/>
    </xf>
    <xf numFmtId="3" fontId="108" fillId="0" borderId="2" xfId="0" applyNumberFormat="1" applyFont="1" applyBorder="1" applyProtection="1">
      <protection locked="0"/>
    </xf>
    <xf numFmtId="3" fontId="108" fillId="0" borderId="0" xfId="0" applyNumberFormat="1" applyFont="1" applyProtection="1">
      <protection locked="0"/>
    </xf>
    <xf numFmtId="1" fontId="125" fillId="53" borderId="2" xfId="0" applyNumberFormat="1" applyFont="1" applyFill="1" applyBorder="1" applyAlignment="1">
      <alignment horizontal="left" vertical="center" wrapText="1"/>
    </xf>
    <xf numFmtId="0" fontId="177" fillId="50" borderId="54" xfId="0" applyFont="1" applyFill="1" applyBorder="1" applyAlignment="1">
      <alignment horizontal="right" vertical="center"/>
    </xf>
    <xf numFmtId="1" fontId="178" fillId="2" borderId="2" xfId="0" applyNumberFormat="1" applyFont="1" applyFill="1" applyBorder="1" applyAlignment="1">
      <alignment horizontal="center"/>
    </xf>
    <xf numFmtId="2" fontId="96" fillId="0" borderId="2" xfId="0" applyNumberFormat="1" applyFont="1" applyBorder="1" applyAlignment="1">
      <alignment horizontal="center" wrapText="1"/>
    </xf>
    <xf numFmtId="2" fontId="96" fillId="0" borderId="0" xfId="0" applyNumberFormat="1" applyFont="1" applyAlignment="1">
      <alignment horizontal="center"/>
    </xf>
    <xf numFmtId="2" fontId="179" fillId="75" borderId="2" xfId="0" applyNumberFormat="1" applyFont="1" applyFill="1" applyBorder="1" applyAlignment="1">
      <alignment horizontal="center" vertical="center" wrapText="1"/>
    </xf>
    <xf numFmtId="0" fontId="154" fillId="4" borderId="25" xfId="1" applyFont="1" applyFill="1" applyBorder="1" applyAlignment="1" applyProtection="1">
      <alignment horizontal="center" vertical="center"/>
      <protection locked="0"/>
    </xf>
    <xf numFmtId="0" fontId="56" fillId="0" borderId="0" xfId="0" applyFont="1" applyAlignment="1">
      <alignment horizontal="center" vertical="center" wrapText="1"/>
    </xf>
    <xf numFmtId="168" fontId="139" fillId="40" borderId="0" xfId="1" applyNumberFormat="1" applyFont="1" applyFill="1" applyBorder="1" applyAlignment="1" applyProtection="1">
      <alignment horizontal="center" vertical="center"/>
      <protection locked="0"/>
    </xf>
    <xf numFmtId="168" fontId="113" fillId="71" borderId="2" xfId="0" applyNumberFormat="1" applyFont="1" applyFill="1" applyBorder="1" applyAlignment="1" applyProtection="1">
      <alignment horizontal="center" vertical="top"/>
      <protection locked="0"/>
    </xf>
    <xf numFmtId="168" fontId="113" fillId="0" borderId="0" xfId="0" applyNumberFormat="1" applyFont="1" applyProtection="1">
      <protection locked="0"/>
    </xf>
    <xf numFmtId="0" fontId="57" fillId="50" borderId="0" xfId="0" applyFont="1" applyFill="1" applyAlignment="1">
      <alignment horizontal="center" vertical="center"/>
    </xf>
    <xf numFmtId="0" fontId="89" fillId="0" borderId="4" xfId="0" applyFont="1" applyBorder="1" applyProtection="1">
      <protection locked="0"/>
    </xf>
    <xf numFmtId="0" fontId="100" fillId="0" borderId="9" xfId="0" applyFont="1" applyBorder="1" applyAlignment="1">
      <alignment horizontal="left" vertical="center" wrapText="1"/>
    </xf>
    <xf numFmtId="168" fontId="182" fillId="45" borderId="3" xfId="1" applyNumberFormat="1" applyFont="1" applyFill="1" applyBorder="1" applyAlignment="1">
      <alignment horizontal="left" vertical="center" wrapText="1"/>
    </xf>
    <xf numFmtId="0" fontId="100" fillId="57" borderId="2" xfId="41" applyNumberFormat="1" applyFont="1" applyFill="1" applyBorder="1" applyAlignment="1">
      <alignment horizontal="left" wrapText="1"/>
    </xf>
    <xf numFmtId="0" fontId="99" fillId="0" borderId="2" xfId="0" applyFont="1" applyBorder="1" applyAlignment="1">
      <alignment horizontal="left"/>
    </xf>
    <xf numFmtId="0" fontId="100" fillId="0" borderId="0" xfId="0" applyFont="1" applyAlignment="1">
      <alignment horizontal="left" vertical="center" wrapText="1"/>
    </xf>
    <xf numFmtId="0" fontId="113" fillId="0" borderId="0" xfId="0" applyFont="1" applyAlignment="1">
      <alignment horizontal="left" vertical="center"/>
    </xf>
    <xf numFmtId="178" fontId="60" fillId="50" borderId="2" xfId="0" applyNumberFormat="1" applyFont="1" applyFill="1" applyBorder="1" applyAlignment="1">
      <alignment horizontal="left" vertical="center"/>
    </xf>
    <xf numFmtId="0" fontId="113" fillId="0" borderId="0" xfId="70" applyFont="1" applyAlignment="1">
      <alignment horizontal="left" vertical="center" wrapText="1"/>
    </xf>
    <xf numFmtId="1" fontId="109" fillId="0" borderId="11" xfId="1" applyNumberFormat="1" applyFont="1" applyFill="1" applyBorder="1" applyAlignment="1">
      <alignment horizontal="left" vertical="center" wrapText="1"/>
    </xf>
    <xf numFmtId="1" fontId="109" fillId="0" borderId="11" xfId="1" applyNumberFormat="1" applyFont="1" applyFill="1" applyBorder="1" applyAlignment="1">
      <alignment horizontal="center" vertical="center" wrapText="1"/>
    </xf>
    <xf numFmtId="0" fontId="109" fillId="0" borderId="17" xfId="1" applyFont="1" applyFill="1" applyBorder="1" applyAlignment="1">
      <alignment horizontal="center" vertical="center" wrapText="1"/>
    </xf>
    <xf numFmtId="0" fontId="103" fillId="45" borderId="3" xfId="1" applyFont="1" applyFill="1" applyBorder="1" applyAlignment="1">
      <alignment vertical="center" wrapText="1"/>
    </xf>
    <xf numFmtId="0" fontId="56" fillId="45" borderId="3" xfId="1" applyFill="1" applyBorder="1" applyAlignment="1">
      <alignment horizontal="left" vertical="center"/>
    </xf>
    <xf numFmtId="0" fontId="103" fillId="45" borderId="3" xfId="1" applyFont="1" applyFill="1" applyBorder="1" applyAlignment="1">
      <alignment vertical="center"/>
    </xf>
    <xf numFmtId="0" fontId="105" fillId="45" borderId="3" xfId="1" applyFont="1" applyFill="1" applyBorder="1" applyAlignment="1">
      <alignment horizontal="center" vertical="center"/>
    </xf>
    <xf numFmtId="1" fontId="60" fillId="45" borderId="3" xfId="1" applyNumberFormat="1" applyFont="1" applyFill="1" applyBorder="1" applyAlignment="1">
      <alignment horizontal="center" vertical="center"/>
    </xf>
    <xf numFmtId="165" fontId="113" fillId="45" borderId="42" xfId="1" applyNumberFormat="1" applyFont="1" applyFill="1" applyBorder="1" applyAlignment="1">
      <alignment vertical="center"/>
    </xf>
    <xf numFmtId="165" fontId="113" fillId="45" borderId="45" xfId="1" applyNumberFormat="1" applyFont="1" applyFill="1" applyBorder="1" applyAlignment="1">
      <alignment vertical="center"/>
    </xf>
    <xf numFmtId="1" fontId="113" fillId="45" borderId="2" xfId="1" applyNumberFormat="1" applyFont="1" applyFill="1" applyBorder="1" applyAlignment="1">
      <alignment horizontal="right" vertical="center"/>
    </xf>
    <xf numFmtId="20" fontId="113" fillId="45" borderId="7" xfId="1" applyNumberFormat="1" applyFont="1" applyFill="1" applyBorder="1" applyAlignment="1">
      <alignment horizontal="left" vertical="center"/>
    </xf>
    <xf numFmtId="173" fontId="89" fillId="57" borderId="2" xfId="41" applyNumberFormat="1" applyFont="1" applyFill="1" applyBorder="1" applyAlignment="1">
      <alignment horizontal="left" wrapText="1"/>
    </xf>
    <xf numFmtId="0" fontId="89" fillId="57" borderId="2" xfId="82" applyFont="1" applyFill="1" applyBorder="1" applyAlignment="1">
      <alignment horizontal="center"/>
    </xf>
    <xf numFmtId="173" fontId="89" fillId="57" borderId="2" xfId="41" applyNumberFormat="1" applyFont="1" applyFill="1" applyBorder="1" applyAlignment="1">
      <alignment horizontal="left"/>
    </xf>
    <xf numFmtId="0" fontId="56" fillId="57" borderId="2" xfId="0" applyFont="1" applyFill="1" applyBorder="1"/>
    <xf numFmtId="173" fontId="183" fillId="57" borderId="2" xfId="32" applyNumberFormat="1" applyFont="1" applyFill="1" applyBorder="1" applyAlignment="1">
      <alignment horizontal="center"/>
    </xf>
    <xf numFmtId="0" fontId="105" fillId="57" borderId="2" xfId="1" applyFont="1" applyFill="1" applyBorder="1" applyAlignment="1">
      <alignment horizontal="center" vertical="center"/>
    </xf>
    <xf numFmtId="0" fontId="89" fillId="57" borderId="2" xfId="82" applyFont="1" applyFill="1" applyBorder="1" applyAlignment="1">
      <alignment horizontal="left"/>
    </xf>
    <xf numFmtId="20" fontId="56" fillId="57" borderId="2" xfId="1" applyNumberFormat="1" applyFill="1" applyBorder="1" applyAlignment="1">
      <alignment horizontal="center" vertical="center"/>
    </xf>
    <xf numFmtId="20" fontId="56" fillId="57" borderId="5" xfId="1" applyNumberFormat="1" applyFill="1" applyBorder="1" applyAlignment="1">
      <alignment horizontal="center" vertical="center"/>
    </xf>
    <xf numFmtId="165" fontId="89" fillId="57" borderId="5" xfId="1" applyNumberFormat="1" applyFont="1" applyFill="1" applyBorder="1" applyAlignment="1">
      <alignment horizontal="center" vertical="center"/>
    </xf>
    <xf numFmtId="20" fontId="89" fillId="57" borderId="5" xfId="1" applyNumberFormat="1" applyFont="1" applyFill="1" applyBorder="1" applyAlignment="1">
      <alignment horizontal="center" vertical="center"/>
    </xf>
    <xf numFmtId="20" fontId="113" fillId="57" borderId="5" xfId="1" applyNumberFormat="1" applyFont="1" applyFill="1" applyBorder="1" applyAlignment="1">
      <alignment horizontal="left" vertical="center"/>
    </xf>
    <xf numFmtId="0" fontId="113" fillId="0" borderId="2" xfId="82" applyFont="1" applyBorder="1" applyAlignment="1">
      <alignment horizontal="left" vertical="center"/>
    </xf>
    <xf numFmtId="0" fontId="151" fillId="0" borderId="2" xfId="82" applyFont="1" applyBorder="1" applyAlignment="1">
      <alignment horizontal="left" vertical="center" wrapText="1"/>
    </xf>
    <xf numFmtId="0" fontId="151" fillId="0" borderId="2" xfId="0" applyFont="1" applyBorder="1" applyAlignment="1">
      <alignment vertical="center" wrapText="1"/>
    </xf>
    <xf numFmtId="0" fontId="113" fillId="0" borderId="2" xfId="82" applyFont="1" applyBorder="1" applyAlignment="1">
      <alignment horizontal="center" vertical="center"/>
    </xf>
    <xf numFmtId="176" fontId="119" fillId="0" borderId="2" xfId="32" applyNumberFormat="1" applyFont="1" applyFill="1" applyBorder="1" applyAlignment="1">
      <alignment horizontal="center" vertical="center"/>
    </xf>
    <xf numFmtId="0" fontId="109" fillId="0" borderId="2" xfId="1" applyFont="1" applyFill="1" applyBorder="1" applyAlignment="1">
      <alignment horizontal="center" vertical="center"/>
    </xf>
    <xf numFmtId="165" fontId="113" fillId="0" borderId="2" xfId="1" applyNumberFormat="1" applyFont="1" applyFill="1" applyBorder="1" applyAlignment="1">
      <alignment horizontal="center" vertical="center"/>
    </xf>
    <xf numFmtId="165" fontId="113" fillId="0" borderId="2" xfId="1" applyNumberFormat="1" applyFont="1" applyFill="1" applyBorder="1" applyAlignment="1">
      <alignment horizontal="left" vertical="center"/>
    </xf>
    <xf numFmtId="2" fontId="113" fillId="0" borderId="2" xfId="1" applyNumberFormat="1" applyFont="1" applyFill="1" applyBorder="1" applyAlignment="1">
      <alignment horizontal="center" vertical="center"/>
    </xf>
    <xf numFmtId="0" fontId="56" fillId="0" borderId="0" xfId="0" applyFont="1" applyAlignment="1">
      <alignment vertical="center" wrapText="1"/>
    </xf>
    <xf numFmtId="1" fontId="56" fillId="0" borderId="0" xfId="0" applyNumberFormat="1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0" fontId="89" fillId="0" borderId="0" xfId="0" applyFont="1" applyAlignment="1">
      <alignment vertical="center"/>
    </xf>
    <xf numFmtId="173" fontId="131" fillId="57" borderId="8" xfId="32" applyNumberFormat="1" applyFont="1" applyFill="1" applyBorder="1" applyAlignment="1">
      <alignment horizontal="center"/>
    </xf>
    <xf numFmtId="173" fontId="132" fillId="57" borderId="8" xfId="32" applyNumberFormat="1" applyFont="1" applyFill="1" applyBorder="1" applyAlignment="1">
      <alignment horizontal="center"/>
    </xf>
    <xf numFmtId="173" fontId="131" fillId="0" borderId="2" xfId="32" applyNumberFormat="1" applyFont="1" applyFill="1" applyBorder="1" applyAlignment="1">
      <alignment horizontal="center" vertical="center"/>
    </xf>
    <xf numFmtId="1" fontId="120" fillId="0" borderId="0" xfId="0" applyNumberFormat="1" applyFont="1" applyAlignment="1">
      <alignment horizontal="center" vertical="center"/>
    </xf>
    <xf numFmtId="0" fontId="145" fillId="45" borderId="3" xfId="82" applyFont="1" applyFill="1" applyBorder="1" applyAlignment="1">
      <alignment horizontal="left" vertical="center"/>
    </xf>
    <xf numFmtId="0" fontId="98" fillId="57" borderId="8" xfId="82" applyFont="1" applyFill="1" applyBorder="1" applyAlignment="1">
      <alignment horizontal="left"/>
    </xf>
    <xf numFmtId="0" fontId="64" fillId="0" borderId="0" xfId="0" applyFont="1" applyAlignment="1">
      <alignment horizontal="left" vertical="center"/>
    </xf>
    <xf numFmtId="178" fontId="100" fillId="0" borderId="2" xfId="0" applyNumberFormat="1" applyFont="1" applyBorder="1" applyAlignment="1">
      <alignment horizontal="left" vertical="center"/>
    </xf>
    <xf numFmtId="0" fontId="108" fillId="0" borderId="2" xfId="0" applyFont="1" applyBorder="1" applyAlignment="1">
      <alignment wrapText="1"/>
    </xf>
    <xf numFmtId="1" fontId="184" fillId="0" borderId="5" xfId="0" applyNumberFormat="1" applyFont="1" applyBorder="1" applyAlignment="1">
      <alignment horizontal="right"/>
    </xf>
    <xf numFmtId="1" fontId="184" fillId="0" borderId="15" xfId="0" applyNumberFormat="1" applyFont="1" applyBorder="1" applyAlignment="1">
      <alignment horizontal="right"/>
    </xf>
    <xf numFmtId="0" fontId="0" fillId="0" borderId="8" xfId="0" applyBorder="1"/>
    <xf numFmtId="0" fontId="98" fillId="0" borderId="8" xfId="0" applyFont="1" applyBorder="1"/>
    <xf numFmtId="0" fontId="185" fillId="50" borderId="28" xfId="0" applyFont="1" applyFill="1" applyBorder="1"/>
    <xf numFmtId="0" fontId="185" fillId="50" borderId="3" xfId="0" applyFont="1" applyFill="1" applyBorder="1"/>
    <xf numFmtId="1" fontId="185" fillId="50" borderId="3" xfId="0" applyNumberFormat="1" applyFont="1" applyFill="1" applyBorder="1"/>
    <xf numFmtId="0" fontId="186" fillId="50" borderId="7" xfId="0" applyFont="1" applyFill="1" applyBorder="1"/>
    <xf numFmtId="0" fontId="0" fillId="0" borderId="6" xfId="0" applyBorder="1"/>
    <xf numFmtId="0" fontId="0" fillId="0" borderId="2" xfId="0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0" fillId="0" borderId="16" xfId="0" applyBorder="1"/>
    <xf numFmtId="0" fontId="0" fillId="0" borderId="8" xfId="0" applyBorder="1" applyAlignment="1">
      <alignment horizontal="right"/>
    </xf>
    <xf numFmtId="1" fontId="0" fillId="0" borderId="8" xfId="0" applyNumberFormat="1" applyBorder="1" applyAlignment="1">
      <alignment horizontal="right"/>
    </xf>
    <xf numFmtId="183" fontId="0" fillId="0" borderId="6" xfId="0" applyNumberFormat="1" applyBorder="1"/>
    <xf numFmtId="183" fontId="0" fillId="0" borderId="16" xfId="0" applyNumberFormat="1" applyBorder="1"/>
    <xf numFmtId="183" fontId="94" fillId="77" borderId="2" xfId="0" applyNumberFormat="1" applyFont="1" applyFill="1" applyBorder="1"/>
    <xf numFmtId="0" fontId="94" fillId="77" borderId="2" xfId="0" applyFont="1" applyFill="1" applyBorder="1"/>
    <xf numFmtId="183" fontId="94" fillId="0" borderId="2" xfId="0" applyNumberFormat="1" applyFont="1" applyBorder="1"/>
    <xf numFmtId="0" fontId="94" fillId="0" borderId="2" xfId="0" applyFont="1" applyBorder="1"/>
    <xf numFmtId="178" fontId="60" fillId="0" borderId="8" xfId="0" applyNumberFormat="1" applyFont="1" applyBorder="1" applyAlignment="1">
      <alignment horizontal="left" vertical="center"/>
    </xf>
    <xf numFmtId="183" fontId="187" fillId="0" borderId="2" xfId="0" applyNumberFormat="1" applyFont="1" applyBorder="1"/>
    <xf numFmtId="0" fontId="187" fillId="0" borderId="2" xfId="0" applyFont="1" applyBorder="1"/>
    <xf numFmtId="0" fontId="188" fillId="50" borderId="2" xfId="0" applyFont="1" applyFill="1" applyBorder="1"/>
    <xf numFmtId="1" fontId="184" fillId="77" borderId="2" xfId="0" applyNumberFormat="1" applyFont="1" applyFill="1" applyBorder="1" applyAlignment="1">
      <alignment horizontal="right" wrapText="1"/>
    </xf>
    <xf numFmtId="1" fontId="184" fillId="0" borderId="2" xfId="0" applyNumberFormat="1" applyFont="1" applyBorder="1" applyAlignment="1">
      <alignment horizontal="right" wrapText="1"/>
    </xf>
    <xf numFmtId="0" fontId="184" fillId="50" borderId="2" xfId="0" applyFont="1" applyFill="1" applyBorder="1" applyAlignment="1">
      <alignment wrapText="1"/>
    </xf>
    <xf numFmtId="0" fontId="56" fillId="0" borderId="2" xfId="0" applyFont="1" applyBorder="1" applyAlignment="1">
      <alignment horizontal="center" vertical="center"/>
    </xf>
    <xf numFmtId="0" fontId="99" fillId="0" borderId="28" xfId="0" applyFont="1" applyBorder="1" applyAlignment="1">
      <alignment horizontal="left"/>
    </xf>
    <xf numFmtId="2" fontId="108" fillId="0" borderId="2" xfId="0" applyNumberFormat="1" applyFont="1" applyBorder="1" applyAlignment="1">
      <alignment horizontal="left" wrapText="1"/>
    </xf>
    <xf numFmtId="0" fontId="98" fillId="0" borderId="8" xfId="0" applyFont="1" applyBorder="1" applyAlignment="1">
      <alignment horizontal="left"/>
    </xf>
    <xf numFmtId="180" fontId="98" fillId="0" borderId="8" xfId="0" applyNumberFormat="1" applyFont="1" applyBorder="1"/>
    <xf numFmtId="0" fontId="177" fillId="50" borderId="55" xfId="0" applyFont="1" applyFill="1" applyBorder="1" applyAlignment="1">
      <alignment horizontal="right" vertical="center"/>
    </xf>
    <xf numFmtId="181" fontId="157" fillId="0" borderId="8" xfId="0" applyNumberFormat="1" applyFont="1" applyBorder="1"/>
    <xf numFmtId="2" fontId="98" fillId="0" borderId="8" xfId="0" applyNumberFormat="1" applyFont="1" applyBorder="1"/>
    <xf numFmtId="0" fontId="156" fillId="0" borderId="8" xfId="0" applyFont="1" applyBorder="1" applyAlignment="1">
      <alignment vertical="center"/>
    </xf>
    <xf numFmtId="0" fontId="108" fillId="0" borderId="8" xfId="0" applyFont="1" applyBorder="1"/>
    <xf numFmtId="0" fontId="56" fillId="0" borderId="46" xfId="0" applyFont="1" applyBorder="1" applyAlignment="1">
      <alignment vertical="center"/>
    </xf>
    <xf numFmtId="0" fontId="53" fillId="0" borderId="8" xfId="0" applyFont="1" applyBorder="1" applyAlignment="1">
      <alignment horizontal="right"/>
    </xf>
    <xf numFmtId="0" fontId="123" fillId="0" borderId="8" xfId="0" applyFont="1" applyBorder="1" applyAlignment="1">
      <alignment horizontal="center"/>
    </xf>
    <xf numFmtId="3" fontId="131" fillId="0" borderId="15" xfId="0" applyNumberFormat="1" applyFont="1" applyBorder="1" applyAlignment="1">
      <alignment horizontal="center"/>
    </xf>
    <xf numFmtId="3" fontId="131" fillId="0" borderId="8" xfId="0" applyNumberFormat="1" applyFont="1" applyBorder="1" applyProtection="1">
      <protection locked="0"/>
    </xf>
    <xf numFmtId="0" fontId="98" fillId="0" borderId="16" xfId="0" applyFont="1" applyBorder="1"/>
    <xf numFmtId="0" fontId="89" fillId="0" borderId="8" xfId="0" applyFont="1" applyBorder="1" applyAlignment="1">
      <alignment horizontal="left"/>
    </xf>
    <xf numFmtId="179" fontId="98" fillId="0" borderId="8" xfId="0" applyNumberFormat="1" applyFont="1" applyBorder="1"/>
    <xf numFmtId="0" fontId="98" fillId="0" borderId="0" xfId="0" applyFont="1" applyAlignment="1">
      <alignment horizontal="left"/>
    </xf>
    <xf numFmtId="0" fontId="123" fillId="50" borderId="0" xfId="0" applyFont="1" applyFill="1"/>
    <xf numFmtId="0" fontId="157" fillId="0" borderId="0" xfId="0" applyFont="1"/>
    <xf numFmtId="0" fontId="108" fillId="0" borderId="0" xfId="0" applyFont="1"/>
    <xf numFmtId="0" fontId="123" fillId="0" borderId="0" xfId="0" applyFont="1" applyAlignment="1">
      <alignment horizontal="center"/>
    </xf>
    <xf numFmtId="3" fontId="131" fillId="0" borderId="0" xfId="0" applyNumberFormat="1" applyFont="1" applyAlignment="1">
      <alignment horizontal="center"/>
    </xf>
    <xf numFmtId="3" fontId="163" fillId="0" borderId="0" xfId="0" applyNumberFormat="1" applyFont="1" applyAlignment="1">
      <alignment horizontal="right"/>
    </xf>
    <xf numFmtId="0" fontId="89" fillId="0" borderId="0" xfId="0" applyFont="1" applyAlignment="1">
      <alignment horizontal="left"/>
    </xf>
    <xf numFmtId="0" fontId="180" fillId="0" borderId="51" xfId="0" applyFont="1" applyBorder="1" applyAlignment="1">
      <alignment vertical="center"/>
    </xf>
    <xf numFmtId="0" fontId="180" fillId="0" borderId="52" xfId="0" applyFont="1" applyBorder="1" applyAlignment="1">
      <alignment vertical="center"/>
    </xf>
    <xf numFmtId="182" fontId="60" fillId="0" borderId="15" xfId="0" applyNumberFormat="1" applyFont="1" applyBorder="1" applyAlignment="1">
      <alignment horizontal="right"/>
    </xf>
    <xf numFmtId="0" fontId="177" fillId="0" borderId="53" xfId="0" applyFont="1" applyBorder="1" applyAlignment="1">
      <alignment vertical="center"/>
    </xf>
    <xf numFmtId="0" fontId="177" fillId="0" borderId="54" xfId="0" applyFont="1" applyBorder="1" applyAlignment="1">
      <alignment vertical="center"/>
    </xf>
    <xf numFmtId="0" fontId="177" fillId="0" borderId="54" xfId="0" applyFont="1" applyBorder="1" applyAlignment="1">
      <alignment horizontal="right" vertical="center"/>
    </xf>
    <xf numFmtId="0" fontId="0" fillId="0" borderId="0" xfId="0" applyAlignment="1">
      <alignment wrapText="1"/>
    </xf>
    <xf numFmtId="182" fontId="60" fillId="0" borderId="0" xfId="0" applyNumberFormat="1" applyFont="1" applyAlignment="1">
      <alignment horizontal="right"/>
    </xf>
    <xf numFmtId="15" fontId="177" fillId="0" borderId="54" xfId="0" applyNumberFormat="1" applyFont="1" applyBorder="1" applyAlignment="1">
      <alignment vertical="center"/>
    </xf>
    <xf numFmtId="0" fontId="113" fillId="0" borderId="28" xfId="0" applyFont="1" applyBorder="1" applyAlignment="1">
      <alignment horizontal="left"/>
    </xf>
    <xf numFmtId="0" fontId="113" fillId="0" borderId="2" xfId="0" applyFont="1" applyBorder="1" applyAlignment="1">
      <alignment horizontal="center" vertical="center" wrapText="1"/>
    </xf>
    <xf numFmtId="0" fontId="113" fillId="74" borderId="2" xfId="0" applyFont="1" applyFill="1" applyBorder="1" applyAlignment="1">
      <alignment horizontal="center" vertical="center" wrapText="1"/>
    </xf>
    <xf numFmtId="1" fontId="113" fillId="0" borderId="2" xfId="0" applyNumberFormat="1" applyFont="1" applyBorder="1" applyAlignment="1">
      <alignment horizontal="center" vertical="center" wrapText="1"/>
    </xf>
    <xf numFmtId="0" fontId="113" fillId="0" borderId="2" xfId="0" applyFont="1" applyBorder="1" applyAlignment="1">
      <alignment horizontal="left" vertical="center" wrapText="1"/>
    </xf>
    <xf numFmtId="1" fontId="113" fillId="0" borderId="5" xfId="0" applyNumberFormat="1" applyFont="1" applyBorder="1" applyAlignment="1">
      <alignment horizontal="left" vertical="center" wrapText="1"/>
    </xf>
    <xf numFmtId="0" fontId="113" fillId="0" borderId="5" xfId="0" applyFont="1" applyBorder="1" applyAlignment="1">
      <alignment horizontal="left" vertical="center" wrapText="1"/>
    </xf>
    <xf numFmtId="1" fontId="113" fillId="0" borderId="5" xfId="0" applyNumberFormat="1" applyFont="1" applyBorder="1" applyAlignment="1">
      <alignment horizontal="center" vertical="center" wrapText="1"/>
    </xf>
    <xf numFmtId="172" fontId="113" fillId="0" borderId="2" xfId="0" applyNumberFormat="1" applyFont="1" applyBorder="1" applyAlignment="1">
      <alignment horizontal="center" vertical="center" wrapText="1"/>
    </xf>
    <xf numFmtId="0" fontId="113" fillId="0" borderId="5" xfId="0" applyFont="1" applyBorder="1" applyAlignment="1">
      <alignment horizontal="center" vertical="center" wrapText="1"/>
    </xf>
    <xf numFmtId="164" fontId="113" fillId="0" borderId="2" xfId="0" applyNumberFormat="1" applyFont="1" applyBorder="1" applyAlignment="1">
      <alignment horizontal="center" vertical="center" wrapText="1"/>
    </xf>
    <xf numFmtId="178" fontId="113" fillId="62" borderId="2" xfId="0" applyNumberFormat="1" applyFont="1" applyFill="1" applyBorder="1" applyAlignment="1">
      <alignment horizontal="left" vertical="center"/>
    </xf>
    <xf numFmtId="178" fontId="113" fillId="0" borderId="2" xfId="0" applyNumberFormat="1" applyFont="1" applyBorder="1" applyAlignment="1">
      <alignment horizontal="left" vertical="center" wrapText="1"/>
    </xf>
    <xf numFmtId="0" fontId="113" fillId="0" borderId="2" xfId="0" applyFont="1" applyBorder="1" applyAlignment="1">
      <alignment vertical="center" wrapText="1"/>
    </xf>
    <xf numFmtId="0" fontId="113" fillId="45" borderId="0" xfId="0" applyFont="1" applyFill="1" applyAlignment="1">
      <alignment horizontal="center" vertical="center" wrapText="1"/>
    </xf>
    <xf numFmtId="0" fontId="113" fillId="60" borderId="0" xfId="0" applyFont="1" applyFill="1" applyAlignment="1">
      <alignment horizontal="center" vertical="center" wrapText="1"/>
    </xf>
    <xf numFmtId="1" fontId="113" fillId="74" borderId="0" xfId="0" applyNumberFormat="1" applyFont="1" applyFill="1" applyAlignment="1">
      <alignment horizontal="center" vertical="center" wrapText="1"/>
    </xf>
    <xf numFmtId="0" fontId="113" fillId="69" borderId="0" xfId="0" applyFont="1" applyFill="1" applyAlignment="1">
      <alignment horizontal="center" vertical="center" wrapText="1"/>
    </xf>
    <xf numFmtId="0" fontId="113" fillId="50" borderId="0" xfId="0" applyFont="1" applyFill="1" applyAlignment="1">
      <alignment horizontal="center" vertical="center" wrapText="1"/>
    </xf>
    <xf numFmtId="1" fontId="113" fillId="59" borderId="0" xfId="0" applyNumberFormat="1" applyFont="1" applyFill="1" applyAlignment="1">
      <alignment horizontal="center" vertical="center" wrapText="1"/>
    </xf>
    <xf numFmtId="0" fontId="113" fillId="63" borderId="0" xfId="0" applyFont="1" applyFill="1" applyAlignment="1">
      <alignment horizontal="center" vertical="center" wrapText="1"/>
    </xf>
    <xf numFmtId="0" fontId="113" fillId="71" borderId="0" xfId="0" applyFont="1" applyFill="1" applyAlignment="1">
      <alignment horizontal="center" vertical="center" wrapText="1"/>
    </xf>
    <xf numFmtId="0" fontId="113" fillId="55" borderId="0" xfId="0" applyFont="1" applyFill="1" applyAlignment="1">
      <alignment horizontal="center" vertical="center" wrapText="1"/>
    </xf>
    <xf numFmtId="0" fontId="113" fillId="0" borderId="0" xfId="0" applyFont="1" applyAlignment="1">
      <alignment vertical="center" wrapText="1"/>
    </xf>
    <xf numFmtId="0" fontId="113" fillId="0" borderId="2" xfId="0" applyFont="1" applyBorder="1" applyAlignment="1">
      <alignment horizontal="left"/>
    </xf>
    <xf numFmtId="2" fontId="113" fillId="52" borderId="2" xfId="0" applyNumberFormat="1" applyFont="1" applyFill="1" applyBorder="1" applyAlignment="1">
      <alignment horizontal="left"/>
    </xf>
    <xf numFmtId="0" fontId="166" fillId="49" borderId="14" xfId="0" applyFont="1" applyFill="1" applyBorder="1" applyAlignment="1">
      <alignment horizontal="center" vertical="center"/>
    </xf>
    <xf numFmtId="0" fontId="166" fillId="49" borderId="28" xfId="0" applyFont="1" applyFill="1" applyBorder="1" applyAlignment="1">
      <alignment horizontal="center" vertical="center"/>
    </xf>
    <xf numFmtId="0" fontId="60" fillId="0" borderId="9" xfId="0" applyFont="1" applyBorder="1" applyAlignment="1">
      <alignment horizontal="center"/>
    </xf>
    <xf numFmtId="0" fontId="60" fillId="0" borderId="18" xfId="0" applyFont="1" applyBorder="1" applyAlignment="1">
      <alignment horizontal="center"/>
    </xf>
    <xf numFmtId="0" fontId="56" fillId="0" borderId="21" xfId="70" applyBorder="1" applyAlignment="1">
      <alignment horizontal="left" vertical="center" wrapText="1"/>
    </xf>
    <xf numFmtId="0" fontId="56" fillId="0" borderId="22" xfId="70" applyBorder="1" applyAlignment="1">
      <alignment horizontal="left" vertical="center" wrapText="1"/>
    </xf>
    <xf numFmtId="0" fontId="56" fillId="0" borderId="23" xfId="70" applyBorder="1" applyAlignment="1">
      <alignment horizontal="left" vertical="center" wrapText="1"/>
    </xf>
    <xf numFmtId="0" fontId="56" fillId="0" borderId="24" xfId="70" applyBorder="1" applyAlignment="1">
      <alignment horizontal="left" vertical="center" wrapText="1"/>
    </xf>
    <xf numFmtId="15" fontId="104" fillId="0" borderId="9" xfId="1" applyNumberFormat="1" applyFont="1" applyFill="1" applyBorder="1" applyAlignment="1">
      <alignment horizontal="left" vertical="center"/>
    </xf>
    <xf numFmtId="0" fontId="111" fillId="0" borderId="9" xfId="0" applyFont="1" applyBorder="1" applyAlignment="1">
      <alignment horizontal="center"/>
    </xf>
    <xf numFmtId="0" fontId="111" fillId="0" borderId="18" xfId="0" applyFont="1" applyBorder="1" applyAlignment="1">
      <alignment horizontal="center"/>
    </xf>
    <xf numFmtId="0" fontId="69" fillId="0" borderId="42" xfId="0" applyFont="1" applyBorder="1" applyAlignment="1">
      <alignment horizontal="center" vertical="center"/>
    </xf>
    <xf numFmtId="0" fontId="69" fillId="0" borderId="50" xfId="0" applyFont="1" applyBorder="1" applyAlignment="1">
      <alignment horizontal="center" vertical="center"/>
    </xf>
    <xf numFmtId="0" fontId="69" fillId="0" borderId="45" xfId="0" applyFont="1" applyBorder="1" applyAlignment="1">
      <alignment horizontal="center" vertical="center"/>
    </xf>
    <xf numFmtId="0" fontId="57" fillId="0" borderId="40" xfId="0" applyFont="1" applyBorder="1" applyAlignment="1">
      <alignment horizontal="center" vertical="center" wrapText="1"/>
    </xf>
    <xf numFmtId="0" fontId="57" fillId="0" borderId="41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 wrapText="1"/>
    </xf>
    <xf numFmtId="0" fontId="57" fillId="0" borderId="20" xfId="0" applyFont="1" applyBorder="1" applyAlignment="1">
      <alignment horizontal="center" vertical="center" wrapText="1"/>
    </xf>
    <xf numFmtId="0" fontId="135" fillId="0" borderId="5" xfId="0" applyFont="1" applyBorder="1" applyAlignment="1">
      <alignment horizontal="center" vertical="center" wrapText="1"/>
    </xf>
    <xf numFmtId="0" fontId="135" fillId="0" borderId="4" xfId="0" applyFont="1" applyBorder="1" applyAlignment="1">
      <alignment horizontal="center" vertical="center" wrapText="1"/>
    </xf>
    <xf numFmtId="0" fontId="13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" fontId="57" fillId="0" borderId="38" xfId="0" applyNumberFormat="1" applyFont="1" applyBorder="1" applyAlignment="1">
      <alignment horizontal="center" vertical="top" wrapText="1"/>
    </xf>
    <xf numFmtId="16" fontId="57" fillId="0" borderId="0" xfId="0" applyNumberFormat="1" applyFont="1" applyAlignment="1">
      <alignment horizontal="center" vertical="top" wrapText="1"/>
    </xf>
    <xf numFmtId="16" fontId="57" fillId="0" borderId="46" xfId="0" applyNumberFormat="1" applyFont="1" applyBorder="1" applyAlignment="1">
      <alignment horizontal="center" vertical="top" wrapText="1"/>
    </xf>
    <xf numFmtId="16" fontId="136" fillId="0" borderId="14" xfId="0" applyNumberFormat="1" applyFont="1" applyBorder="1" applyAlignment="1">
      <alignment horizontal="left" vertical="center"/>
    </xf>
    <xf numFmtId="16" fontId="136" fillId="0" borderId="47" xfId="0" applyNumberFormat="1" applyFont="1" applyBorder="1" applyAlignment="1">
      <alignment horizontal="left" vertical="center"/>
    </xf>
  </cellXfs>
  <cellStyles count="1510">
    <cellStyle name="=C:\WINNT\SYSTEM32\COMMAND.COM 2" xfId="1" xr:uid="{00000000-0005-0000-0000-000000000000}"/>
    <cellStyle name="20% - Accent1" xfId="2" builtinId="30" customBuiltin="1"/>
    <cellStyle name="20% - Accent1 10" xfId="233" xr:uid="{00000000-0005-0000-0000-000002000000}"/>
    <cellStyle name="20% - Accent1 10 2" xfId="910" xr:uid="{00000000-0005-0000-0000-000003000000}"/>
    <cellStyle name="20% - Accent1 11" xfId="247" xr:uid="{00000000-0005-0000-0000-000004000000}"/>
    <cellStyle name="20% - Accent1 11 2" xfId="924" xr:uid="{00000000-0005-0000-0000-000005000000}"/>
    <cellStyle name="20% - Accent1 12" xfId="261" xr:uid="{00000000-0005-0000-0000-000006000000}"/>
    <cellStyle name="20% - Accent1 12 2" xfId="938" xr:uid="{00000000-0005-0000-0000-000007000000}"/>
    <cellStyle name="20% - Accent1 13" xfId="275" xr:uid="{00000000-0005-0000-0000-000008000000}"/>
    <cellStyle name="20% - Accent1 13 2" xfId="952" xr:uid="{00000000-0005-0000-0000-000009000000}"/>
    <cellStyle name="20% - Accent1 14" xfId="289" xr:uid="{00000000-0005-0000-0000-00000A000000}"/>
    <cellStyle name="20% - Accent1 14 2" xfId="966" xr:uid="{00000000-0005-0000-0000-00000B000000}"/>
    <cellStyle name="20% - Accent1 15" xfId="303" xr:uid="{00000000-0005-0000-0000-00000C000000}"/>
    <cellStyle name="20% - Accent1 15 2" xfId="980" xr:uid="{00000000-0005-0000-0000-00000D000000}"/>
    <cellStyle name="20% - Accent1 16" xfId="317" xr:uid="{00000000-0005-0000-0000-00000E000000}"/>
    <cellStyle name="20% - Accent1 16 2" xfId="994" xr:uid="{00000000-0005-0000-0000-00000F000000}"/>
    <cellStyle name="20% - Accent1 17" xfId="331" xr:uid="{00000000-0005-0000-0000-000010000000}"/>
    <cellStyle name="20% - Accent1 17 2" xfId="1008" xr:uid="{00000000-0005-0000-0000-000011000000}"/>
    <cellStyle name="20% - Accent1 18" xfId="345" xr:uid="{00000000-0005-0000-0000-000012000000}"/>
    <cellStyle name="20% - Accent1 18 2" xfId="1022" xr:uid="{00000000-0005-0000-0000-000013000000}"/>
    <cellStyle name="20% - Accent1 19" xfId="360" xr:uid="{00000000-0005-0000-0000-000014000000}"/>
    <cellStyle name="20% - Accent1 19 2" xfId="1037" xr:uid="{00000000-0005-0000-0000-000015000000}"/>
    <cellStyle name="20% - Accent1 2" xfId="121" xr:uid="{00000000-0005-0000-0000-000016000000}"/>
    <cellStyle name="20% - Accent1 2 2" xfId="798" xr:uid="{00000000-0005-0000-0000-000017000000}"/>
    <cellStyle name="20% - Accent1 20" xfId="375" xr:uid="{00000000-0005-0000-0000-000018000000}"/>
    <cellStyle name="20% - Accent1 20 2" xfId="1052" xr:uid="{00000000-0005-0000-0000-000019000000}"/>
    <cellStyle name="20% - Accent1 21" xfId="389" xr:uid="{00000000-0005-0000-0000-00001A000000}"/>
    <cellStyle name="20% - Accent1 21 2" xfId="1066" xr:uid="{00000000-0005-0000-0000-00001B000000}"/>
    <cellStyle name="20% - Accent1 22" xfId="403" xr:uid="{00000000-0005-0000-0000-00001C000000}"/>
    <cellStyle name="20% - Accent1 22 2" xfId="1080" xr:uid="{00000000-0005-0000-0000-00001D000000}"/>
    <cellStyle name="20% - Accent1 23" xfId="417" xr:uid="{00000000-0005-0000-0000-00001E000000}"/>
    <cellStyle name="20% - Accent1 23 2" xfId="1094" xr:uid="{00000000-0005-0000-0000-00001F000000}"/>
    <cellStyle name="20% - Accent1 24" xfId="431" xr:uid="{00000000-0005-0000-0000-000020000000}"/>
    <cellStyle name="20% - Accent1 24 2" xfId="1108" xr:uid="{00000000-0005-0000-0000-000021000000}"/>
    <cellStyle name="20% - Accent1 25" xfId="445" xr:uid="{00000000-0005-0000-0000-000022000000}"/>
    <cellStyle name="20% - Accent1 25 2" xfId="1122" xr:uid="{00000000-0005-0000-0000-000023000000}"/>
    <cellStyle name="20% - Accent1 26" xfId="459" xr:uid="{00000000-0005-0000-0000-000024000000}"/>
    <cellStyle name="20% - Accent1 26 2" xfId="1136" xr:uid="{00000000-0005-0000-0000-000025000000}"/>
    <cellStyle name="20% - Accent1 27" xfId="473" xr:uid="{00000000-0005-0000-0000-000026000000}"/>
    <cellStyle name="20% - Accent1 27 2" xfId="1150" xr:uid="{00000000-0005-0000-0000-000027000000}"/>
    <cellStyle name="20% - Accent1 28" xfId="488" xr:uid="{00000000-0005-0000-0000-000028000000}"/>
    <cellStyle name="20% - Accent1 28 2" xfId="1165" xr:uid="{00000000-0005-0000-0000-000029000000}"/>
    <cellStyle name="20% - Accent1 29" xfId="502" xr:uid="{00000000-0005-0000-0000-00002A000000}"/>
    <cellStyle name="20% - Accent1 29 2" xfId="1179" xr:uid="{00000000-0005-0000-0000-00002B000000}"/>
    <cellStyle name="20% - Accent1 3" xfId="135" xr:uid="{00000000-0005-0000-0000-00002C000000}"/>
    <cellStyle name="20% - Accent1 3 2" xfId="812" xr:uid="{00000000-0005-0000-0000-00002D000000}"/>
    <cellStyle name="20% - Accent1 30" xfId="516" xr:uid="{00000000-0005-0000-0000-00002E000000}"/>
    <cellStyle name="20% - Accent1 30 2" xfId="1193" xr:uid="{00000000-0005-0000-0000-00002F000000}"/>
    <cellStyle name="20% - Accent1 31" xfId="530" xr:uid="{00000000-0005-0000-0000-000030000000}"/>
    <cellStyle name="20% - Accent1 31 2" xfId="1207" xr:uid="{00000000-0005-0000-0000-000031000000}"/>
    <cellStyle name="20% - Accent1 32" xfId="544" xr:uid="{00000000-0005-0000-0000-000032000000}"/>
    <cellStyle name="20% - Accent1 32 2" xfId="1221" xr:uid="{00000000-0005-0000-0000-000033000000}"/>
    <cellStyle name="20% - Accent1 33" xfId="558" xr:uid="{00000000-0005-0000-0000-000034000000}"/>
    <cellStyle name="20% - Accent1 33 2" xfId="1235" xr:uid="{00000000-0005-0000-0000-000035000000}"/>
    <cellStyle name="20% - Accent1 34" xfId="572" xr:uid="{00000000-0005-0000-0000-000036000000}"/>
    <cellStyle name="20% - Accent1 34 2" xfId="1249" xr:uid="{00000000-0005-0000-0000-000037000000}"/>
    <cellStyle name="20% - Accent1 35" xfId="586" xr:uid="{00000000-0005-0000-0000-000038000000}"/>
    <cellStyle name="20% - Accent1 35 2" xfId="1263" xr:uid="{00000000-0005-0000-0000-000039000000}"/>
    <cellStyle name="20% - Accent1 36" xfId="600" xr:uid="{00000000-0005-0000-0000-00003A000000}"/>
    <cellStyle name="20% - Accent1 36 2" xfId="1277" xr:uid="{00000000-0005-0000-0000-00003B000000}"/>
    <cellStyle name="20% - Accent1 37" xfId="614" xr:uid="{00000000-0005-0000-0000-00003C000000}"/>
    <cellStyle name="20% - Accent1 37 2" xfId="1291" xr:uid="{00000000-0005-0000-0000-00003D000000}"/>
    <cellStyle name="20% - Accent1 38" xfId="629" xr:uid="{00000000-0005-0000-0000-00003E000000}"/>
    <cellStyle name="20% - Accent1 38 2" xfId="1306" xr:uid="{00000000-0005-0000-0000-00003F000000}"/>
    <cellStyle name="20% - Accent1 39" xfId="643" xr:uid="{00000000-0005-0000-0000-000040000000}"/>
    <cellStyle name="20% - Accent1 39 2" xfId="1320" xr:uid="{00000000-0005-0000-0000-000041000000}"/>
    <cellStyle name="20% - Accent1 4" xfId="149" xr:uid="{00000000-0005-0000-0000-000042000000}"/>
    <cellStyle name="20% - Accent1 4 2" xfId="826" xr:uid="{00000000-0005-0000-0000-000043000000}"/>
    <cellStyle name="20% - Accent1 40" xfId="657" xr:uid="{00000000-0005-0000-0000-000044000000}"/>
    <cellStyle name="20% - Accent1 40 2" xfId="1334" xr:uid="{00000000-0005-0000-0000-000045000000}"/>
    <cellStyle name="20% - Accent1 41" xfId="671" xr:uid="{00000000-0005-0000-0000-000046000000}"/>
    <cellStyle name="20% - Accent1 41 2" xfId="1348" xr:uid="{00000000-0005-0000-0000-000047000000}"/>
    <cellStyle name="20% - Accent1 42" xfId="685" xr:uid="{00000000-0005-0000-0000-000048000000}"/>
    <cellStyle name="20% - Accent1 42 2" xfId="1362" xr:uid="{00000000-0005-0000-0000-000049000000}"/>
    <cellStyle name="20% - Accent1 43" xfId="699" xr:uid="{00000000-0005-0000-0000-00004A000000}"/>
    <cellStyle name="20% - Accent1 43 2" xfId="1378" xr:uid="{00000000-0005-0000-0000-00004B000000}"/>
    <cellStyle name="20% - Accent1 44" xfId="713" xr:uid="{00000000-0005-0000-0000-00004C000000}"/>
    <cellStyle name="20% - Accent1 44 2" xfId="1395" xr:uid="{00000000-0005-0000-0000-00004D000000}"/>
    <cellStyle name="20% - Accent1 45" xfId="729" xr:uid="{00000000-0005-0000-0000-00004E000000}"/>
    <cellStyle name="20% - Accent1 45 2" xfId="1413" xr:uid="{00000000-0005-0000-0000-00004F000000}"/>
    <cellStyle name="20% - Accent1 46" xfId="1428" xr:uid="{00000000-0005-0000-0000-000050000000}"/>
    <cellStyle name="20% - Accent1 47" xfId="1458" xr:uid="{00000000-0005-0000-0000-000051000000}"/>
    <cellStyle name="20% - Accent1 48" xfId="1473" xr:uid="{00000000-0005-0000-0000-000052000000}"/>
    <cellStyle name="20% - Accent1 49" xfId="744" xr:uid="{00000000-0005-0000-0000-000053000000}"/>
    <cellStyle name="20% - Accent1 5" xfId="163" xr:uid="{00000000-0005-0000-0000-000054000000}"/>
    <cellStyle name="20% - Accent1 5 2" xfId="840" xr:uid="{00000000-0005-0000-0000-000055000000}"/>
    <cellStyle name="20% - Accent1 50" xfId="1492" xr:uid="{69659016-8D0B-4BB5-A472-FDAF37662B61}"/>
    <cellStyle name="20% - Accent1 6" xfId="177" xr:uid="{00000000-0005-0000-0000-000056000000}"/>
    <cellStyle name="20% - Accent1 6 2" xfId="854" xr:uid="{00000000-0005-0000-0000-000057000000}"/>
    <cellStyle name="20% - Accent1 7" xfId="191" xr:uid="{00000000-0005-0000-0000-000058000000}"/>
    <cellStyle name="20% - Accent1 7 2" xfId="868" xr:uid="{00000000-0005-0000-0000-000059000000}"/>
    <cellStyle name="20% - Accent1 8" xfId="205" xr:uid="{00000000-0005-0000-0000-00005A000000}"/>
    <cellStyle name="20% - Accent1 8 2" xfId="882" xr:uid="{00000000-0005-0000-0000-00005B000000}"/>
    <cellStyle name="20% - Accent1 9" xfId="219" xr:uid="{00000000-0005-0000-0000-00005C000000}"/>
    <cellStyle name="20% - Accent1 9 2" xfId="896" xr:uid="{00000000-0005-0000-0000-00005D000000}"/>
    <cellStyle name="20% - Accent2" xfId="3" builtinId="34" customBuiltin="1"/>
    <cellStyle name="20% - Accent2 10" xfId="235" xr:uid="{00000000-0005-0000-0000-00005F000000}"/>
    <cellStyle name="20% - Accent2 10 2" xfId="912" xr:uid="{00000000-0005-0000-0000-000060000000}"/>
    <cellStyle name="20% - Accent2 11" xfId="249" xr:uid="{00000000-0005-0000-0000-000061000000}"/>
    <cellStyle name="20% - Accent2 11 2" xfId="926" xr:uid="{00000000-0005-0000-0000-000062000000}"/>
    <cellStyle name="20% - Accent2 12" xfId="263" xr:uid="{00000000-0005-0000-0000-000063000000}"/>
    <cellStyle name="20% - Accent2 12 2" xfId="940" xr:uid="{00000000-0005-0000-0000-000064000000}"/>
    <cellStyle name="20% - Accent2 13" xfId="277" xr:uid="{00000000-0005-0000-0000-000065000000}"/>
    <cellStyle name="20% - Accent2 13 2" xfId="954" xr:uid="{00000000-0005-0000-0000-000066000000}"/>
    <cellStyle name="20% - Accent2 14" xfId="291" xr:uid="{00000000-0005-0000-0000-000067000000}"/>
    <cellStyle name="20% - Accent2 14 2" xfId="968" xr:uid="{00000000-0005-0000-0000-000068000000}"/>
    <cellStyle name="20% - Accent2 15" xfId="305" xr:uid="{00000000-0005-0000-0000-000069000000}"/>
    <cellStyle name="20% - Accent2 15 2" xfId="982" xr:uid="{00000000-0005-0000-0000-00006A000000}"/>
    <cellStyle name="20% - Accent2 16" xfId="319" xr:uid="{00000000-0005-0000-0000-00006B000000}"/>
    <cellStyle name="20% - Accent2 16 2" xfId="996" xr:uid="{00000000-0005-0000-0000-00006C000000}"/>
    <cellStyle name="20% - Accent2 17" xfId="333" xr:uid="{00000000-0005-0000-0000-00006D000000}"/>
    <cellStyle name="20% - Accent2 17 2" xfId="1010" xr:uid="{00000000-0005-0000-0000-00006E000000}"/>
    <cellStyle name="20% - Accent2 18" xfId="347" xr:uid="{00000000-0005-0000-0000-00006F000000}"/>
    <cellStyle name="20% - Accent2 18 2" xfId="1024" xr:uid="{00000000-0005-0000-0000-000070000000}"/>
    <cellStyle name="20% - Accent2 19" xfId="362" xr:uid="{00000000-0005-0000-0000-000071000000}"/>
    <cellStyle name="20% - Accent2 19 2" xfId="1039" xr:uid="{00000000-0005-0000-0000-000072000000}"/>
    <cellStyle name="20% - Accent2 2" xfId="123" xr:uid="{00000000-0005-0000-0000-000073000000}"/>
    <cellStyle name="20% - Accent2 2 2" xfId="800" xr:uid="{00000000-0005-0000-0000-000074000000}"/>
    <cellStyle name="20% - Accent2 20" xfId="377" xr:uid="{00000000-0005-0000-0000-000075000000}"/>
    <cellStyle name="20% - Accent2 20 2" xfId="1054" xr:uid="{00000000-0005-0000-0000-000076000000}"/>
    <cellStyle name="20% - Accent2 21" xfId="391" xr:uid="{00000000-0005-0000-0000-000077000000}"/>
    <cellStyle name="20% - Accent2 21 2" xfId="1068" xr:uid="{00000000-0005-0000-0000-000078000000}"/>
    <cellStyle name="20% - Accent2 22" xfId="405" xr:uid="{00000000-0005-0000-0000-000079000000}"/>
    <cellStyle name="20% - Accent2 22 2" xfId="1082" xr:uid="{00000000-0005-0000-0000-00007A000000}"/>
    <cellStyle name="20% - Accent2 23" xfId="419" xr:uid="{00000000-0005-0000-0000-00007B000000}"/>
    <cellStyle name="20% - Accent2 23 2" xfId="1096" xr:uid="{00000000-0005-0000-0000-00007C000000}"/>
    <cellStyle name="20% - Accent2 24" xfId="433" xr:uid="{00000000-0005-0000-0000-00007D000000}"/>
    <cellStyle name="20% - Accent2 24 2" xfId="1110" xr:uid="{00000000-0005-0000-0000-00007E000000}"/>
    <cellStyle name="20% - Accent2 25" xfId="447" xr:uid="{00000000-0005-0000-0000-00007F000000}"/>
    <cellStyle name="20% - Accent2 25 2" xfId="1124" xr:uid="{00000000-0005-0000-0000-000080000000}"/>
    <cellStyle name="20% - Accent2 26" xfId="461" xr:uid="{00000000-0005-0000-0000-000081000000}"/>
    <cellStyle name="20% - Accent2 26 2" xfId="1138" xr:uid="{00000000-0005-0000-0000-000082000000}"/>
    <cellStyle name="20% - Accent2 27" xfId="475" xr:uid="{00000000-0005-0000-0000-000083000000}"/>
    <cellStyle name="20% - Accent2 27 2" xfId="1152" xr:uid="{00000000-0005-0000-0000-000084000000}"/>
    <cellStyle name="20% - Accent2 28" xfId="490" xr:uid="{00000000-0005-0000-0000-000085000000}"/>
    <cellStyle name="20% - Accent2 28 2" xfId="1167" xr:uid="{00000000-0005-0000-0000-000086000000}"/>
    <cellStyle name="20% - Accent2 29" xfId="504" xr:uid="{00000000-0005-0000-0000-000087000000}"/>
    <cellStyle name="20% - Accent2 29 2" xfId="1181" xr:uid="{00000000-0005-0000-0000-000088000000}"/>
    <cellStyle name="20% - Accent2 3" xfId="137" xr:uid="{00000000-0005-0000-0000-000089000000}"/>
    <cellStyle name="20% - Accent2 3 2" xfId="814" xr:uid="{00000000-0005-0000-0000-00008A000000}"/>
    <cellStyle name="20% - Accent2 30" xfId="518" xr:uid="{00000000-0005-0000-0000-00008B000000}"/>
    <cellStyle name="20% - Accent2 30 2" xfId="1195" xr:uid="{00000000-0005-0000-0000-00008C000000}"/>
    <cellStyle name="20% - Accent2 31" xfId="532" xr:uid="{00000000-0005-0000-0000-00008D000000}"/>
    <cellStyle name="20% - Accent2 31 2" xfId="1209" xr:uid="{00000000-0005-0000-0000-00008E000000}"/>
    <cellStyle name="20% - Accent2 32" xfId="546" xr:uid="{00000000-0005-0000-0000-00008F000000}"/>
    <cellStyle name="20% - Accent2 32 2" xfId="1223" xr:uid="{00000000-0005-0000-0000-000090000000}"/>
    <cellStyle name="20% - Accent2 33" xfId="560" xr:uid="{00000000-0005-0000-0000-000091000000}"/>
    <cellStyle name="20% - Accent2 33 2" xfId="1237" xr:uid="{00000000-0005-0000-0000-000092000000}"/>
    <cellStyle name="20% - Accent2 34" xfId="574" xr:uid="{00000000-0005-0000-0000-000093000000}"/>
    <cellStyle name="20% - Accent2 34 2" xfId="1251" xr:uid="{00000000-0005-0000-0000-000094000000}"/>
    <cellStyle name="20% - Accent2 35" xfId="588" xr:uid="{00000000-0005-0000-0000-000095000000}"/>
    <cellStyle name="20% - Accent2 35 2" xfId="1265" xr:uid="{00000000-0005-0000-0000-000096000000}"/>
    <cellStyle name="20% - Accent2 36" xfId="602" xr:uid="{00000000-0005-0000-0000-000097000000}"/>
    <cellStyle name="20% - Accent2 36 2" xfId="1279" xr:uid="{00000000-0005-0000-0000-000098000000}"/>
    <cellStyle name="20% - Accent2 37" xfId="616" xr:uid="{00000000-0005-0000-0000-000099000000}"/>
    <cellStyle name="20% - Accent2 37 2" xfId="1293" xr:uid="{00000000-0005-0000-0000-00009A000000}"/>
    <cellStyle name="20% - Accent2 38" xfId="631" xr:uid="{00000000-0005-0000-0000-00009B000000}"/>
    <cellStyle name="20% - Accent2 38 2" xfId="1308" xr:uid="{00000000-0005-0000-0000-00009C000000}"/>
    <cellStyle name="20% - Accent2 39" xfId="645" xr:uid="{00000000-0005-0000-0000-00009D000000}"/>
    <cellStyle name="20% - Accent2 39 2" xfId="1322" xr:uid="{00000000-0005-0000-0000-00009E000000}"/>
    <cellStyle name="20% - Accent2 4" xfId="151" xr:uid="{00000000-0005-0000-0000-00009F000000}"/>
    <cellStyle name="20% - Accent2 4 2" xfId="828" xr:uid="{00000000-0005-0000-0000-0000A0000000}"/>
    <cellStyle name="20% - Accent2 40" xfId="659" xr:uid="{00000000-0005-0000-0000-0000A1000000}"/>
    <cellStyle name="20% - Accent2 40 2" xfId="1336" xr:uid="{00000000-0005-0000-0000-0000A2000000}"/>
    <cellStyle name="20% - Accent2 41" xfId="673" xr:uid="{00000000-0005-0000-0000-0000A3000000}"/>
    <cellStyle name="20% - Accent2 41 2" xfId="1350" xr:uid="{00000000-0005-0000-0000-0000A4000000}"/>
    <cellStyle name="20% - Accent2 42" xfId="687" xr:uid="{00000000-0005-0000-0000-0000A5000000}"/>
    <cellStyle name="20% - Accent2 42 2" xfId="1364" xr:uid="{00000000-0005-0000-0000-0000A6000000}"/>
    <cellStyle name="20% - Accent2 43" xfId="701" xr:uid="{00000000-0005-0000-0000-0000A7000000}"/>
    <cellStyle name="20% - Accent2 43 2" xfId="1380" xr:uid="{00000000-0005-0000-0000-0000A8000000}"/>
    <cellStyle name="20% - Accent2 44" xfId="715" xr:uid="{00000000-0005-0000-0000-0000A9000000}"/>
    <cellStyle name="20% - Accent2 44 2" xfId="1397" xr:uid="{00000000-0005-0000-0000-0000AA000000}"/>
    <cellStyle name="20% - Accent2 45" xfId="731" xr:uid="{00000000-0005-0000-0000-0000AB000000}"/>
    <cellStyle name="20% - Accent2 45 2" xfId="1415" xr:uid="{00000000-0005-0000-0000-0000AC000000}"/>
    <cellStyle name="20% - Accent2 46" xfId="1430" xr:uid="{00000000-0005-0000-0000-0000AD000000}"/>
    <cellStyle name="20% - Accent2 47" xfId="1460" xr:uid="{00000000-0005-0000-0000-0000AE000000}"/>
    <cellStyle name="20% - Accent2 48" xfId="1475" xr:uid="{00000000-0005-0000-0000-0000AF000000}"/>
    <cellStyle name="20% - Accent2 49" xfId="745" xr:uid="{00000000-0005-0000-0000-0000B0000000}"/>
    <cellStyle name="20% - Accent2 5" xfId="165" xr:uid="{00000000-0005-0000-0000-0000B1000000}"/>
    <cellStyle name="20% - Accent2 5 2" xfId="842" xr:uid="{00000000-0005-0000-0000-0000B2000000}"/>
    <cellStyle name="20% - Accent2 50" xfId="1495" xr:uid="{A488BCF8-0FBA-47B7-9569-8429AC8E4231}"/>
    <cellStyle name="20% - Accent2 6" xfId="179" xr:uid="{00000000-0005-0000-0000-0000B3000000}"/>
    <cellStyle name="20% - Accent2 6 2" xfId="856" xr:uid="{00000000-0005-0000-0000-0000B4000000}"/>
    <cellStyle name="20% - Accent2 7" xfId="193" xr:uid="{00000000-0005-0000-0000-0000B5000000}"/>
    <cellStyle name="20% - Accent2 7 2" xfId="870" xr:uid="{00000000-0005-0000-0000-0000B6000000}"/>
    <cellStyle name="20% - Accent2 8" xfId="207" xr:uid="{00000000-0005-0000-0000-0000B7000000}"/>
    <cellStyle name="20% - Accent2 8 2" xfId="884" xr:uid="{00000000-0005-0000-0000-0000B8000000}"/>
    <cellStyle name="20% - Accent2 9" xfId="221" xr:uid="{00000000-0005-0000-0000-0000B9000000}"/>
    <cellStyle name="20% - Accent2 9 2" xfId="898" xr:uid="{00000000-0005-0000-0000-0000BA000000}"/>
    <cellStyle name="20% - Accent3" xfId="4" builtinId="38" customBuiltin="1"/>
    <cellStyle name="20% - Accent3 10" xfId="237" xr:uid="{00000000-0005-0000-0000-0000BC000000}"/>
    <cellStyle name="20% - Accent3 10 2" xfId="914" xr:uid="{00000000-0005-0000-0000-0000BD000000}"/>
    <cellStyle name="20% - Accent3 11" xfId="251" xr:uid="{00000000-0005-0000-0000-0000BE000000}"/>
    <cellStyle name="20% - Accent3 11 2" xfId="928" xr:uid="{00000000-0005-0000-0000-0000BF000000}"/>
    <cellStyle name="20% - Accent3 12" xfId="265" xr:uid="{00000000-0005-0000-0000-0000C0000000}"/>
    <cellStyle name="20% - Accent3 12 2" xfId="942" xr:uid="{00000000-0005-0000-0000-0000C1000000}"/>
    <cellStyle name="20% - Accent3 13" xfId="279" xr:uid="{00000000-0005-0000-0000-0000C2000000}"/>
    <cellStyle name="20% - Accent3 13 2" xfId="956" xr:uid="{00000000-0005-0000-0000-0000C3000000}"/>
    <cellStyle name="20% - Accent3 14" xfId="293" xr:uid="{00000000-0005-0000-0000-0000C4000000}"/>
    <cellStyle name="20% - Accent3 14 2" xfId="970" xr:uid="{00000000-0005-0000-0000-0000C5000000}"/>
    <cellStyle name="20% - Accent3 15" xfId="307" xr:uid="{00000000-0005-0000-0000-0000C6000000}"/>
    <cellStyle name="20% - Accent3 15 2" xfId="984" xr:uid="{00000000-0005-0000-0000-0000C7000000}"/>
    <cellStyle name="20% - Accent3 16" xfId="321" xr:uid="{00000000-0005-0000-0000-0000C8000000}"/>
    <cellStyle name="20% - Accent3 16 2" xfId="998" xr:uid="{00000000-0005-0000-0000-0000C9000000}"/>
    <cellStyle name="20% - Accent3 17" xfId="335" xr:uid="{00000000-0005-0000-0000-0000CA000000}"/>
    <cellStyle name="20% - Accent3 17 2" xfId="1012" xr:uid="{00000000-0005-0000-0000-0000CB000000}"/>
    <cellStyle name="20% - Accent3 18" xfId="349" xr:uid="{00000000-0005-0000-0000-0000CC000000}"/>
    <cellStyle name="20% - Accent3 18 2" xfId="1026" xr:uid="{00000000-0005-0000-0000-0000CD000000}"/>
    <cellStyle name="20% - Accent3 19" xfId="364" xr:uid="{00000000-0005-0000-0000-0000CE000000}"/>
    <cellStyle name="20% - Accent3 19 2" xfId="1041" xr:uid="{00000000-0005-0000-0000-0000CF000000}"/>
    <cellStyle name="20% - Accent3 2" xfId="125" xr:uid="{00000000-0005-0000-0000-0000D0000000}"/>
    <cellStyle name="20% - Accent3 2 2" xfId="802" xr:uid="{00000000-0005-0000-0000-0000D1000000}"/>
    <cellStyle name="20% - Accent3 20" xfId="379" xr:uid="{00000000-0005-0000-0000-0000D2000000}"/>
    <cellStyle name="20% - Accent3 20 2" xfId="1056" xr:uid="{00000000-0005-0000-0000-0000D3000000}"/>
    <cellStyle name="20% - Accent3 21" xfId="393" xr:uid="{00000000-0005-0000-0000-0000D4000000}"/>
    <cellStyle name="20% - Accent3 21 2" xfId="1070" xr:uid="{00000000-0005-0000-0000-0000D5000000}"/>
    <cellStyle name="20% - Accent3 22" xfId="407" xr:uid="{00000000-0005-0000-0000-0000D6000000}"/>
    <cellStyle name="20% - Accent3 22 2" xfId="1084" xr:uid="{00000000-0005-0000-0000-0000D7000000}"/>
    <cellStyle name="20% - Accent3 23" xfId="421" xr:uid="{00000000-0005-0000-0000-0000D8000000}"/>
    <cellStyle name="20% - Accent3 23 2" xfId="1098" xr:uid="{00000000-0005-0000-0000-0000D9000000}"/>
    <cellStyle name="20% - Accent3 24" xfId="435" xr:uid="{00000000-0005-0000-0000-0000DA000000}"/>
    <cellStyle name="20% - Accent3 24 2" xfId="1112" xr:uid="{00000000-0005-0000-0000-0000DB000000}"/>
    <cellStyle name="20% - Accent3 25" xfId="449" xr:uid="{00000000-0005-0000-0000-0000DC000000}"/>
    <cellStyle name="20% - Accent3 25 2" xfId="1126" xr:uid="{00000000-0005-0000-0000-0000DD000000}"/>
    <cellStyle name="20% - Accent3 26" xfId="463" xr:uid="{00000000-0005-0000-0000-0000DE000000}"/>
    <cellStyle name="20% - Accent3 26 2" xfId="1140" xr:uid="{00000000-0005-0000-0000-0000DF000000}"/>
    <cellStyle name="20% - Accent3 27" xfId="477" xr:uid="{00000000-0005-0000-0000-0000E0000000}"/>
    <cellStyle name="20% - Accent3 27 2" xfId="1154" xr:uid="{00000000-0005-0000-0000-0000E1000000}"/>
    <cellStyle name="20% - Accent3 28" xfId="492" xr:uid="{00000000-0005-0000-0000-0000E2000000}"/>
    <cellStyle name="20% - Accent3 28 2" xfId="1169" xr:uid="{00000000-0005-0000-0000-0000E3000000}"/>
    <cellStyle name="20% - Accent3 29" xfId="506" xr:uid="{00000000-0005-0000-0000-0000E4000000}"/>
    <cellStyle name="20% - Accent3 29 2" xfId="1183" xr:uid="{00000000-0005-0000-0000-0000E5000000}"/>
    <cellStyle name="20% - Accent3 3" xfId="139" xr:uid="{00000000-0005-0000-0000-0000E6000000}"/>
    <cellStyle name="20% - Accent3 3 2" xfId="816" xr:uid="{00000000-0005-0000-0000-0000E7000000}"/>
    <cellStyle name="20% - Accent3 30" xfId="520" xr:uid="{00000000-0005-0000-0000-0000E8000000}"/>
    <cellStyle name="20% - Accent3 30 2" xfId="1197" xr:uid="{00000000-0005-0000-0000-0000E9000000}"/>
    <cellStyle name="20% - Accent3 31" xfId="534" xr:uid="{00000000-0005-0000-0000-0000EA000000}"/>
    <cellStyle name="20% - Accent3 31 2" xfId="1211" xr:uid="{00000000-0005-0000-0000-0000EB000000}"/>
    <cellStyle name="20% - Accent3 32" xfId="548" xr:uid="{00000000-0005-0000-0000-0000EC000000}"/>
    <cellStyle name="20% - Accent3 32 2" xfId="1225" xr:uid="{00000000-0005-0000-0000-0000ED000000}"/>
    <cellStyle name="20% - Accent3 33" xfId="562" xr:uid="{00000000-0005-0000-0000-0000EE000000}"/>
    <cellStyle name="20% - Accent3 33 2" xfId="1239" xr:uid="{00000000-0005-0000-0000-0000EF000000}"/>
    <cellStyle name="20% - Accent3 34" xfId="576" xr:uid="{00000000-0005-0000-0000-0000F0000000}"/>
    <cellStyle name="20% - Accent3 34 2" xfId="1253" xr:uid="{00000000-0005-0000-0000-0000F1000000}"/>
    <cellStyle name="20% - Accent3 35" xfId="590" xr:uid="{00000000-0005-0000-0000-0000F2000000}"/>
    <cellStyle name="20% - Accent3 35 2" xfId="1267" xr:uid="{00000000-0005-0000-0000-0000F3000000}"/>
    <cellStyle name="20% - Accent3 36" xfId="604" xr:uid="{00000000-0005-0000-0000-0000F4000000}"/>
    <cellStyle name="20% - Accent3 36 2" xfId="1281" xr:uid="{00000000-0005-0000-0000-0000F5000000}"/>
    <cellStyle name="20% - Accent3 37" xfId="618" xr:uid="{00000000-0005-0000-0000-0000F6000000}"/>
    <cellStyle name="20% - Accent3 37 2" xfId="1295" xr:uid="{00000000-0005-0000-0000-0000F7000000}"/>
    <cellStyle name="20% - Accent3 38" xfId="633" xr:uid="{00000000-0005-0000-0000-0000F8000000}"/>
    <cellStyle name="20% - Accent3 38 2" xfId="1310" xr:uid="{00000000-0005-0000-0000-0000F9000000}"/>
    <cellStyle name="20% - Accent3 39" xfId="647" xr:uid="{00000000-0005-0000-0000-0000FA000000}"/>
    <cellStyle name="20% - Accent3 39 2" xfId="1324" xr:uid="{00000000-0005-0000-0000-0000FB000000}"/>
    <cellStyle name="20% - Accent3 4" xfId="153" xr:uid="{00000000-0005-0000-0000-0000FC000000}"/>
    <cellStyle name="20% - Accent3 4 2" xfId="830" xr:uid="{00000000-0005-0000-0000-0000FD000000}"/>
    <cellStyle name="20% - Accent3 40" xfId="661" xr:uid="{00000000-0005-0000-0000-0000FE000000}"/>
    <cellStyle name="20% - Accent3 40 2" xfId="1338" xr:uid="{00000000-0005-0000-0000-0000FF000000}"/>
    <cellStyle name="20% - Accent3 41" xfId="675" xr:uid="{00000000-0005-0000-0000-000000010000}"/>
    <cellStyle name="20% - Accent3 41 2" xfId="1352" xr:uid="{00000000-0005-0000-0000-000001010000}"/>
    <cellStyle name="20% - Accent3 42" xfId="689" xr:uid="{00000000-0005-0000-0000-000002010000}"/>
    <cellStyle name="20% - Accent3 42 2" xfId="1366" xr:uid="{00000000-0005-0000-0000-000003010000}"/>
    <cellStyle name="20% - Accent3 43" xfId="703" xr:uid="{00000000-0005-0000-0000-000004010000}"/>
    <cellStyle name="20% - Accent3 43 2" xfId="1382" xr:uid="{00000000-0005-0000-0000-000005010000}"/>
    <cellStyle name="20% - Accent3 44" xfId="717" xr:uid="{00000000-0005-0000-0000-000006010000}"/>
    <cellStyle name="20% - Accent3 44 2" xfId="1399" xr:uid="{00000000-0005-0000-0000-000007010000}"/>
    <cellStyle name="20% - Accent3 45" xfId="733" xr:uid="{00000000-0005-0000-0000-000008010000}"/>
    <cellStyle name="20% - Accent3 45 2" xfId="1417" xr:uid="{00000000-0005-0000-0000-000009010000}"/>
    <cellStyle name="20% - Accent3 46" xfId="1432" xr:uid="{00000000-0005-0000-0000-00000A010000}"/>
    <cellStyle name="20% - Accent3 47" xfId="1462" xr:uid="{00000000-0005-0000-0000-00000B010000}"/>
    <cellStyle name="20% - Accent3 48" xfId="1477" xr:uid="{00000000-0005-0000-0000-00000C010000}"/>
    <cellStyle name="20% - Accent3 49" xfId="746" xr:uid="{00000000-0005-0000-0000-00000D010000}"/>
    <cellStyle name="20% - Accent3 5" xfId="167" xr:uid="{00000000-0005-0000-0000-00000E010000}"/>
    <cellStyle name="20% - Accent3 5 2" xfId="844" xr:uid="{00000000-0005-0000-0000-00000F010000}"/>
    <cellStyle name="20% - Accent3 50" xfId="1498" xr:uid="{EB1F3CFE-3041-433A-BC8E-7DECBCF9BB25}"/>
    <cellStyle name="20% - Accent3 6" xfId="181" xr:uid="{00000000-0005-0000-0000-000010010000}"/>
    <cellStyle name="20% - Accent3 6 2" xfId="858" xr:uid="{00000000-0005-0000-0000-000011010000}"/>
    <cellStyle name="20% - Accent3 7" xfId="195" xr:uid="{00000000-0005-0000-0000-000012010000}"/>
    <cellStyle name="20% - Accent3 7 2" xfId="872" xr:uid="{00000000-0005-0000-0000-000013010000}"/>
    <cellStyle name="20% - Accent3 8" xfId="209" xr:uid="{00000000-0005-0000-0000-000014010000}"/>
    <cellStyle name="20% - Accent3 8 2" xfId="886" xr:uid="{00000000-0005-0000-0000-000015010000}"/>
    <cellStyle name="20% - Accent3 9" xfId="223" xr:uid="{00000000-0005-0000-0000-000016010000}"/>
    <cellStyle name="20% - Accent3 9 2" xfId="900" xr:uid="{00000000-0005-0000-0000-000017010000}"/>
    <cellStyle name="20% - Accent4" xfId="5" builtinId="42" customBuiltin="1"/>
    <cellStyle name="20% - Accent4 10" xfId="239" xr:uid="{00000000-0005-0000-0000-000019010000}"/>
    <cellStyle name="20% - Accent4 10 2" xfId="916" xr:uid="{00000000-0005-0000-0000-00001A010000}"/>
    <cellStyle name="20% - Accent4 11" xfId="253" xr:uid="{00000000-0005-0000-0000-00001B010000}"/>
    <cellStyle name="20% - Accent4 11 2" xfId="930" xr:uid="{00000000-0005-0000-0000-00001C010000}"/>
    <cellStyle name="20% - Accent4 12" xfId="267" xr:uid="{00000000-0005-0000-0000-00001D010000}"/>
    <cellStyle name="20% - Accent4 12 2" xfId="944" xr:uid="{00000000-0005-0000-0000-00001E010000}"/>
    <cellStyle name="20% - Accent4 13" xfId="281" xr:uid="{00000000-0005-0000-0000-00001F010000}"/>
    <cellStyle name="20% - Accent4 13 2" xfId="958" xr:uid="{00000000-0005-0000-0000-000020010000}"/>
    <cellStyle name="20% - Accent4 14" xfId="295" xr:uid="{00000000-0005-0000-0000-000021010000}"/>
    <cellStyle name="20% - Accent4 14 2" xfId="972" xr:uid="{00000000-0005-0000-0000-000022010000}"/>
    <cellStyle name="20% - Accent4 15" xfId="309" xr:uid="{00000000-0005-0000-0000-000023010000}"/>
    <cellStyle name="20% - Accent4 15 2" xfId="986" xr:uid="{00000000-0005-0000-0000-000024010000}"/>
    <cellStyle name="20% - Accent4 16" xfId="323" xr:uid="{00000000-0005-0000-0000-000025010000}"/>
    <cellStyle name="20% - Accent4 16 2" xfId="1000" xr:uid="{00000000-0005-0000-0000-000026010000}"/>
    <cellStyle name="20% - Accent4 17" xfId="337" xr:uid="{00000000-0005-0000-0000-000027010000}"/>
    <cellStyle name="20% - Accent4 17 2" xfId="1014" xr:uid="{00000000-0005-0000-0000-000028010000}"/>
    <cellStyle name="20% - Accent4 18" xfId="351" xr:uid="{00000000-0005-0000-0000-000029010000}"/>
    <cellStyle name="20% - Accent4 18 2" xfId="1028" xr:uid="{00000000-0005-0000-0000-00002A010000}"/>
    <cellStyle name="20% - Accent4 19" xfId="366" xr:uid="{00000000-0005-0000-0000-00002B010000}"/>
    <cellStyle name="20% - Accent4 19 2" xfId="1043" xr:uid="{00000000-0005-0000-0000-00002C010000}"/>
    <cellStyle name="20% - Accent4 2" xfId="127" xr:uid="{00000000-0005-0000-0000-00002D010000}"/>
    <cellStyle name="20% - Accent4 2 2" xfId="804" xr:uid="{00000000-0005-0000-0000-00002E010000}"/>
    <cellStyle name="20% - Accent4 20" xfId="381" xr:uid="{00000000-0005-0000-0000-00002F010000}"/>
    <cellStyle name="20% - Accent4 20 2" xfId="1058" xr:uid="{00000000-0005-0000-0000-000030010000}"/>
    <cellStyle name="20% - Accent4 21" xfId="395" xr:uid="{00000000-0005-0000-0000-000031010000}"/>
    <cellStyle name="20% - Accent4 21 2" xfId="1072" xr:uid="{00000000-0005-0000-0000-000032010000}"/>
    <cellStyle name="20% - Accent4 22" xfId="409" xr:uid="{00000000-0005-0000-0000-000033010000}"/>
    <cellStyle name="20% - Accent4 22 2" xfId="1086" xr:uid="{00000000-0005-0000-0000-000034010000}"/>
    <cellStyle name="20% - Accent4 23" xfId="423" xr:uid="{00000000-0005-0000-0000-000035010000}"/>
    <cellStyle name="20% - Accent4 23 2" xfId="1100" xr:uid="{00000000-0005-0000-0000-000036010000}"/>
    <cellStyle name="20% - Accent4 24" xfId="437" xr:uid="{00000000-0005-0000-0000-000037010000}"/>
    <cellStyle name="20% - Accent4 24 2" xfId="1114" xr:uid="{00000000-0005-0000-0000-000038010000}"/>
    <cellStyle name="20% - Accent4 25" xfId="451" xr:uid="{00000000-0005-0000-0000-000039010000}"/>
    <cellStyle name="20% - Accent4 25 2" xfId="1128" xr:uid="{00000000-0005-0000-0000-00003A010000}"/>
    <cellStyle name="20% - Accent4 26" xfId="465" xr:uid="{00000000-0005-0000-0000-00003B010000}"/>
    <cellStyle name="20% - Accent4 26 2" xfId="1142" xr:uid="{00000000-0005-0000-0000-00003C010000}"/>
    <cellStyle name="20% - Accent4 27" xfId="479" xr:uid="{00000000-0005-0000-0000-00003D010000}"/>
    <cellStyle name="20% - Accent4 27 2" xfId="1156" xr:uid="{00000000-0005-0000-0000-00003E010000}"/>
    <cellStyle name="20% - Accent4 28" xfId="494" xr:uid="{00000000-0005-0000-0000-00003F010000}"/>
    <cellStyle name="20% - Accent4 28 2" xfId="1171" xr:uid="{00000000-0005-0000-0000-000040010000}"/>
    <cellStyle name="20% - Accent4 29" xfId="508" xr:uid="{00000000-0005-0000-0000-000041010000}"/>
    <cellStyle name="20% - Accent4 29 2" xfId="1185" xr:uid="{00000000-0005-0000-0000-000042010000}"/>
    <cellStyle name="20% - Accent4 3" xfId="141" xr:uid="{00000000-0005-0000-0000-000043010000}"/>
    <cellStyle name="20% - Accent4 3 2" xfId="818" xr:uid="{00000000-0005-0000-0000-000044010000}"/>
    <cellStyle name="20% - Accent4 30" xfId="522" xr:uid="{00000000-0005-0000-0000-000045010000}"/>
    <cellStyle name="20% - Accent4 30 2" xfId="1199" xr:uid="{00000000-0005-0000-0000-000046010000}"/>
    <cellStyle name="20% - Accent4 31" xfId="536" xr:uid="{00000000-0005-0000-0000-000047010000}"/>
    <cellStyle name="20% - Accent4 31 2" xfId="1213" xr:uid="{00000000-0005-0000-0000-000048010000}"/>
    <cellStyle name="20% - Accent4 32" xfId="550" xr:uid="{00000000-0005-0000-0000-000049010000}"/>
    <cellStyle name="20% - Accent4 32 2" xfId="1227" xr:uid="{00000000-0005-0000-0000-00004A010000}"/>
    <cellStyle name="20% - Accent4 33" xfId="564" xr:uid="{00000000-0005-0000-0000-00004B010000}"/>
    <cellStyle name="20% - Accent4 33 2" xfId="1241" xr:uid="{00000000-0005-0000-0000-00004C010000}"/>
    <cellStyle name="20% - Accent4 34" xfId="578" xr:uid="{00000000-0005-0000-0000-00004D010000}"/>
    <cellStyle name="20% - Accent4 34 2" xfId="1255" xr:uid="{00000000-0005-0000-0000-00004E010000}"/>
    <cellStyle name="20% - Accent4 35" xfId="592" xr:uid="{00000000-0005-0000-0000-00004F010000}"/>
    <cellStyle name="20% - Accent4 35 2" xfId="1269" xr:uid="{00000000-0005-0000-0000-000050010000}"/>
    <cellStyle name="20% - Accent4 36" xfId="606" xr:uid="{00000000-0005-0000-0000-000051010000}"/>
    <cellStyle name="20% - Accent4 36 2" xfId="1283" xr:uid="{00000000-0005-0000-0000-000052010000}"/>
    <cellStyle name="20% - Accent4 37" xfId="620" xr:uid="{00000000-0005-0000-0000-000053010000}"/>
    <cellStyle name="20% - Accent4 37 2" xfId="1297" xr:uid="{00000000-0005-0000-0000-000054010000}"/>
    <cellStyle name="20% - Accent4 38" xfId="635" xr:uid="{00000000-0005-0000-0000-000055010000}"/>
    <cellStyle name="20% - Accent4 38 2" xfId="1312" xr:uid="{00000000-0005-0000-0000-000056010000}"/>
    <cellStyle name="20% - Accent4 39" xfId="649" xr:uid="{00000000-0005-0000-0000-000057010000}"/>
    <cellStyle name="20% - Accent4 39 2" xfId="1326" xr:uid="{00000000-0005-0000-0000-000058010000}"/>
    <cellStyle name="20% - Accent4 4" xfId="155" xr:uid="{00000000-0005-0000-0000-000059010000}"/>
    <cellStyle name="20% - Accent4 4 2" xfId="832" xr:uid="{00000000-0005-0000-0000-00005A010000}"/>
    <cellStyle name="20% - Accent4 40" xfId="663" xr:uid="{00000000-0005-0000-0000-00005B010000}"/>
    <cellStyle name="20% - Accent4 40 2" xfId="1340" xr:uid="{00000000-0005-0000-0000-00005C010000}"/>
    <cellStyle name="20% - Accent4 41" xfId="677" xr:uid="{00000000-0005-0000-0000-00005D010000}"/>
    <cellStyle name="20% - Accent4 41 2" xfId="1354" xr:uid="{00000000-0005-0000-0000-00005E010000}"/>
    <cellStyle name="20% - Accent4 42" xfId="691" xr:uid="{00000000-0005-0000-0000-00005F010000}"/>
    <cellStyle name="20% - Accent4 42 2" xfId="1368" xr:uid="{00000000-0005-0000-0000-000060010000}"/>
    <cellStyle name="20% - Accent4 43" xfId="705" xr:uid="{00000000-0005-0000-0000-000061010000}"/>
    <cellStyle name="20% - Accent4 43 2" xfId="1384" xr:uid="{00000000-0005-0000-0000-000062010000}"/>
    <cellStyle name="20% - Accent4 44" xfId="719" xr:uid="{00000000-0005-0000-0000-000063010000}"/>
    <cellStyle name="20% - Accent4 44 2" xfId="1401" xr:uid="{00000000-0005-0000-0000-000064010000}"/>
    <cellStyle name="20% - Accent4 45" xfId="735" xr:uid="{00000000-0005-0000-0000-000065010000}"/>
    <cellStyle name="20% - Accent4 45 2" xfId="1419" xr:uid="{00000000-0005-0000-0000-000066010000}"/>
    <cellStyle name="20% - Accent4 46" xfId="1434" xr:uid="{00000000-0005-0000-0000-000067010000}"/>
    <cellStyle name="20% - Accent4 47" xfId="1464" xr:uid="{00000000-0005-0000-0000-000068010000}"/>
    <cellStyle name="20% - Accent4 48" xfId="1479" xr:uid="{00000000-0005-0000-0000-000069010000}"/>
    <cellStyle name="20% - Accent4 49" xfId="747" xr:uid="{00000000-0005-0000-0000-00006A010000}"/>
    <cellStyle name="20% - Accent4 5" xfId="169" xr:uid="{00000000-0005-0000-0000-00006B010000}"/>
    <cellStyle name="20% - Accent4 5 2" xfId="846" xr:uid="{00000000-0005-0000-0000-00006C010000}"/>
    <cellStyle name="20% - Accent4 50" xfId="1501" xr:uid="{09C3FD3D-9CC9-4D99-8B6C-5C27302F3ECD}"/>
    <cellStyle name="20% - Accent4 6" xfId="183" xr:uid="{00000000-0005-0000-0000-00006D010000}"/>
    <cellStyle name="20% - Accent4 6 2" xfId="860" xr:uid="{00000000-0005-0000-0000-00006E010000}"/>
    <cellStyle name="20% - Accent4 7" xfId="197" xr:uid="{00000000-0005-0000-0000-00006F010000}"/>
    <cellStyle name="20% - Accent4 7 2" xfId="874" xr:uid="{00000000-0005-0000-0000-000070010000}"/>
    <cellStyle name="20% - Accent4 8" xfId="211" xr:uid="{00000000-0005-0000-0000-000071010000}"/>
    <cellStyle name="20% - Accent4 8 2" xfId="888" xr:uid="{00000000-0005-0000-0000-000072010000}"/>
    <cellStyle name="20% - Accent4 9" xfId="225" xr:uid="{00000000-0005-0000-0000-000073010000}"/>
    <cellStyle name="20% - Accent4 9 2" xfId="902" xr:uid="{00000000-0005-0000-0000-000074010000}"/>
    <cellStyle name="20% - Accent5" xfId="6" builtinId="46" customBuiltin="1"/>
    <cellStyle name="20% - Accent5 10" xfId="241" xr:uid="{00000000-0005-0000-0000-000076010000}"/>
    <cellStyle name="20% - Accent5 10 2" xfId="918" xr:uid="{00000000-0005-0000-0000-000077010000}"/>
    <cellStyle name="20% - Accent5 11" xfId="255" xr:uid="{00000000-0005-0000-0000-000078010000}"/>
    <cellStyle name="20% - Accent5 11 2" xfId="932" xr:uid="{00000000-0005-0000-0000-000079010000}"/>
    <cellStyle name="20% - Accent5 12" xfId="269" xr:uid="{00000000-0005-0000-0000-00007A010000}"/>
    <cellStyle name="20% - Accent5 12 2" xfId="946" xr:uid="{00000000-0005-0000-0000-00007B010000}"/>
    <cellStyle name="20% - Accent5 13" xfId="283" xr:uid="{00000000-0005-0000-0000-00007C010000}"/>
    <cellStyle name="20% - Accent5 13 2" xfId="960" xr:uid="{00000000-0005-0000-0000-00007D010000}"/>
    <cellStyle name="20% - Accent5 14" xfId="297" xr:uid="{00000000-0005-0000-0000-00007E010000}"/>
    <cellStyle name="20% - Accent5 14 2" xfId="974" xr:uid="{00000000-0005-0000-0000-00007F010000}"/>
    <cellStyle name="20% - Accent5 15" xfId="311" xr:uid="{00000000-0005-0000-0000-000080010000}"/>
    <cellStyle name="20% - Accent5 15 2" xfId="988" xr:uid="{00000000-0005-0000-0000-000081010000}"/>
    <cellStyle name="20% - Accent5 16" xfId="325" xr:uid="{00000000-0005-0000-0000-000082010000}"/>
    <cellStyle name="20% - Accent5 16 2" xfId="1002" xr:uid="{00000000-0005-0000-0000-000083010000}"/>
    <cellStyle name="20% - Accent5 17" xfId="339" xr:uid="{00000000-0005-0000-0000-000084010000}"/>
    <cellStyle name="20% - Accent5 17 2" xfId="1016" xr:uid="{00000000-0005-0000-0000-000085010000}"/>
    <cellStyle name="20% - Accent5 18" xfId="353" xr:uid="{00000000-0005-0000-0000-000086010000}"/>
    <cellStyle name="20% - Accent5 18 2" xfId="1030" xr:uid="{00000000-0005-0000-0000-000087010000}"/>
    <cellStyle name="20% - Accent5 19" xfId="368" xr:uid="{00000000-0005-0000-0000-000088010000}"/>
    <cellStyle name="20% - Accent5 19 2" xfId="1045" xr:uid="{00000000-0005-0000-0000-000089010000}"/>
    <cellStyle name="20% - Accent5 2" xfId="129" xr:uid="{00000000-0005-0000-0000-00008A010000}"/>
    <cellStyle name="20% - Accent5 2 2" xfId="806" xr:uid="{00000000-0005-0000-0000-00008B010000}"/>
    <cellStyle name="20% - Accent5 20" xfId="383" xr:uid="{00000000-0005-0000-0000-00008C010000}"/>
    <cellStyle name="20% - Accent5 20 2" xfId="1060" xr:uid="{00000000-0005-0000-0000-00008D010000}"/>
    <cellStyle name="20% - Accent5 21" xfId="397" xr:uid="{00000000-0005-0000-0000-00008E010000}"/>
    <cellStyle name="20% - Accent5 21 2" xfId="1074" xr:uid="{00000000-0005-0000-0000-00008F010000}"/>
    <cellStyle name="20% - Accent5 22" xfId="411" xr:uid="{00000000-0005-0000-0000-000090010000}"/>
    <cellStyle name="20% - Accent5 22 2" xfId="1088" xr:uid="{00000000-0005-0000-0000-000091010000}"/>
    <cellStyle name="20% - Accent5 23" xfId="425" xr:uid="{00000000-0005-0000-0000-000092010000}"/>
    <cellStyle name="20% - Accent5 23 2" xfId="1102" xr:uid="{00000000-0005-0000-0000-000093010000}"/>
    <cellStyle name="20% - Accent5 24" xfId="439" xr:uid="{00000000-0005-0000-0000-000094010000}"/>
    <cellStyle name="20% - Accent5 24 2" xfId="1116" xr:uid="{00000000-0005-0000-0000-000095010000}"/>
    <cellStyle name="20% - Accent5 25" xfId="453" xr:uid="{00000000-0005-0000-0000-000096010000}"/>
    <cellStyle name="20% - Accent5 25 2" xfId="1130" xr:uid="{00000000-0005-0000-0000-000097010000}"/>
    <cellStyle name="20% - Accent5 26" xfId="467" xr:uid="{00000000-0005-0000-0000-000098010000}"/>
    <cellStyle name="20% - Accent5 26 2" xfId="1144" xr:uid="{00000000-0005-0000-0000-000099010000}"/>
    <cellStyle name="20% - Accent5 27" xfId="481" xr:uid="{00000000-0005-0000-0000-00009A010000}"/>
    <cellStyle name="20% - Accent5 27 2" xfId="1158" xr:uid="{00000000-0005-0000-0000-00009B010000}"/>
    <cellStyle name="20% - Accent5 28" xfId="496" xr:uid="{00000000-0005-0000-0000-00009C010000}"/>
    <cellStyle name="20% - Accent5 28 2" xfId="1173" xr:uid="{00000000-0005-0000-0000-00009D010000}"/>
    <cellStyle name="20% - Accent5 29" xfId="510" xr:uid="{00000000-0005-0000-0000-00009E010000}"/>
    <cellStyle name="20% - Accent5 29 2" xfId="1187" xr:uid="{00000000-0005-0000-0000-00009F010000}"/>
    <cellStyle name="20% - Accent5 3" xfId="143" xr:uid="{00000000-0005-0000-0000-0000A0010000}"/>
    <cellStyle name="20% - Accent5 3 2" xfId="820" xr:uid="{00000000-0005-0000-0000-0000A1010000}"/>
    <cellStyle name="20% - Accent5 30" xfId="524" xr:uid="{00000000-0005-0000-0000-0000A2010000}"/>
    <cellStyle name="20% - Accent5 30 2" xfId="1201" xr:uid="{00000000-0005-0000-0000-0000A3010000}"/>
    <cellStyle name="20% - Accent5 31" xfId="538" xr:uid="{00000000-0005-0000-0000-0000A4010000}"/>
    <cellStyle name="20% - Accent5 31 2" xfId="1215" xr:uid="{00000000-0005-0000-0000-0000A5010000}"/>
    <cellStyle name="20% - Accent5 32" xfId="552" xr:uid="{00000000-0005-0000-0000-0000A6010000}"/>
    <cellStyle name="20% - Accent5 32 2" xfId="1229" xr:uid="{00000000-0005-0000-0000-0000A7010000}"/>
    <cellStyle name="20% - Accent5 33" xfId="566" xr:uid="{00000000-0005-0000-0000-0000A8010000}"/>
    <cellStyle name="20% - Accent5 33 2" xfId="1243" xr:uid="{00000000-0005-0000-0000-0000A9010000}"/>
    <cellStyle name="20% - Accent5 34" xfId="580" xr:uid="{00000000-0005-0000-0000-0000AA010000}"/>
    <cellStyle name="20% - Accent5 34 2" xfId="1257" xr:uid="{00000000-0005-0000-0000-0000AB010000}"/>
    <cellStyle name="20% - Accent5 35" xfId="594" xr:uid="{00000000-0005-0000-0000-0000AC010000}"/>
    <cellStyle name="20% - Accent5 35 2" xfId="1271" xr:uid="{00000000-0005-0000-0000-0000AD010000}"/>
    <cellStyle name="20% - Accent5 36" xfId="608" xr:uid="{00000000-0005-0000-0000-0000AE010000}"/>
    <cellStyle name="20% - Accent5 36 2" xfId="1285" xr:uid="{00000000-0005-0000-0000-0000AF010000}"/>
    <cellStyle name="20% - Accent5 37" xfId="622" xr:uid="{00000000-0005-0000-0000-0000B0010000}"/>
    <cellStyle name="20% - Accent5 37 2" xfId="1299" xr:uid="{00000000-0005-0000-0000-0000B1010000}"/>
    <cellStyle name="20% - Accent5 38" xfId="637" xr:uid="{00000000-0005-0000-0000-0000B2010000}"/>
    <cellStyle name="20% - Accent5 38 2" xfId="1314" xr:uid="{00000000-0005-0000-0000-0000B3010000}"/>
    <cellStyle name="20% - Accent5 39" xfId="651" xr:uid="{00000000-0005-0000-0000-0000B4010000}"/>
    <cellStyle name="20% - Accent5 39 2" xfId="1328" xr:uid="{00000000-0005-0000-0000-0000B5010000}"/>
    <cellStyle name="20% - Accent5 4" xfId="157" xr:uid="{00000000-0005-0000-0000-0000B6010000}"/>
    <cellStyle name="20% - Accent5 4 2" xfId="834" xr:uid="{00000000-0005-0000-0000-0000B7010000}"/>
    <cellStyle name="20% - Accent5 40" xfId="665" xr:uid="{00000000-0005-0000-0000-0000B8010000}"/>
    <cellStyle name="20% - Accent5 40 2" xfId="1342" xr:uid="{00000000-0005-0000-0000-0000B9010000}"/>
    <cellStyle name="20% - Accent5 41" xfId="679" xr:uid="{00000000-0005-0000-0000-0000BA010000}"/>
    <cellStyle name="20% - Accent5 41 2" xfId="1356" xr:uid="{00000000-0005-0000-0000-0000BB010000}"/>
    <cellStyle name="20% - Accent5 42" xfId="693" xr:uid="{00000000-0005-0000-0000-0000BC010000}"/>
    <cellStyle name="20% - Accent5 42 2" xfId="1370" xr:uid="{00000000-0005-0000-0000-0000BD010000}"/>
    <cellStyle name="20% - Accent5 43" xfId="707" xr:uid="{00000000-0005-0000-0000-0000BE010000}"/>
    <cellStyle name="20% - Accent5 43 2" xfId="1386" xr:uid="{00000000-0005-0000-0000-0000BF010000}"/>
    <cellStyle name="20% - Accent5 44" xfId="721" xr:uid="{00000000-0005-0000-0000-0000C0010000}"/>
    <cellStyle name="20% - Accent5 44 2" xfId="1403" xr:uid="{00000000-0005-0000-0000-0000C1010000}"/>
    <cellStyle name="20% - Accent5 45" xfId="737" xr:uid="{00000000-0005-0000-0000-0000C2010000}"/>
    <cellStyle name="20% - Accent5 45 2" xfId="1421" xr:uid="{00000000-0005-0000-0000-0000C3010000}"/>
    <cellStyle name="20% - Accent5 46" xfId="1436" xr:uid="{00000000-0005-0000-0000-0000C4010000}"/>
    <cellStyle name="20% - Accent5 47" xfId="1466" xr:uid="{00000000-0005-0000-0000-0000C5010000}"/>
    <cellStyle name="20% - Accent5 48" xfId="1481" xr:uid="{00000000-0005-0000-0000-0000C6010000}"/>
    <cellStyle name="20% - Accent5 49" xfId="748" xr:uid="{00000000-0005-0000-0000-0000C7010000}"/>
    <cellStyle name="20% - Accent5 5" xfId="171" xr:uid="{00000000-0005-0000-0000-0000C8010000}"/>
    <cellStyle name="20% - Accent5 5 2" xfId="848" xr:uid="{00000000-0005-0000-0000-0000C9010000}"/>
    <cellStyle name="20% - Accent5 50" xfId="1504" xr:uid="{D6498D94-85F5-4EDA-83A1-E790828720D5}"/>
    <cellStyle name="20% - Accent5 6" xfId="185" xr:uid="{00000000-0005-0000-0000-0000CA010000}"/>
    <cellStyle name="20% - Accent5 6 2" xfId="862" xr:uid="{00000000-0005-0000-0000-0000CB010000}"/>
    <cellStyle name="20% - Accent5 7" xfId="199" xr:uid="{00000000-0005-0000-0000-0000CC010000}"/>
    <cellStyle name="20% - Accent5 7 2" xfId="876" xr:uid="{00000000-0005-0000-0000-0000CD010000}"/>
    <cellStyle name="20% - Accent5 8" xfId="213" xr:uid="{00000000-0005-0000-0000-0000CE010000}"/>
    <cellStyle name="20% - Accent5 8 2" xfId="890" xr:uid="{00000000-0005-0000-0000-0000CF010000}"/>
    <cellStyle name="20% - Accent5 9" xfId="227" xr:uid="{00000000-0005-0000-0000-0000D0010000}"/>
    <cellStyle name="20% - Accent5 9 2" xfId="904" xr:uid="{00000000-0005-0000-0000-0000D1010000}"/>
    <cellStyle name="20% - Accent6" xfId="7" builtinId="50" customBuiltin="1"/>
    <cellStyle name="20% - Accent6 10" xfId="243" xr:uid="{00000000-0005-0000-0000-0000D3010000}"/>
    <cellStyle name="20% - Accent6 10 2" xfId="920" xr:uid="{00000000-0005-0000-0000-0000D4010000}"/>
    <cellStyle name="20% - Accent6 11" xfId="257" xr:uid="{00000000-0005-0000-0000-0000D5010000}"/>
    <cellStyle name="20% - Accent6 11 2" xfId="934" xr:uid="{00000000-0005-0000-0000-0000D6010000}"/>
    <cellStyle name="20% - Accent6 12" xfId="271" xr:uid="{00000000-0005-0000-0000-0000D7010000}"/>
    <cellStyle name="20% - Accent6 12 2" xfId="948" xr:uid="{00000000-0005-0000-0000-0000D8010000}"/>
    <cellStyle name="20% - Accent6 13" xfId="285" xr:uid="{00000000-0005-0000-0000-0000D9010000}"/>
    <cellStyle name="20% - Accent6 13 2" xfId="962" xr:uid="{00000000-0005-0000-0000-0000DA010000}"/>
    <cellStyle name="20% - Accent6 14" xfId="299" xr:uid="{00000000-0005-0000-0000-0000DB010000}"/>
    <cellStyle name="20% - Accent6 14 2" xfId="976" xr:uid="{00000000-0005-0000-0000-0000DC010000}"/>
    <cellStyle name="20% - Accent6 15" xfId="313" xr:uid="{00000000-0005-0000-0000-0000DD010000}"/>
    <cellStyle name="20% - Accent6 15 2" xfId="990" xr:uid="{00000000-0005-0000-0000-0000DE010000}"/>
    <cellStyle name="20% - Accent6 16" xfId="327" xr:uid="{00000000-0005-0000-0000-0000DF010000}"/>
    <cellStyle name="20% - Accent6 16 2" xfId="1004" xr:uid="{00000000-0005-0000-0000-0000E0010000}"/>
    <cellStyle name="20% - Accent6 17" xfId="341" xr:uid="{00000000-0005-0000-0000-0000E1010000}"/>
    <cellStyle name="20% - Accent6 17 2" xfId="1018" xr:uid="{00000000-0005-0000-0000-0000E2010000}"/>
    <cellStyle name="20% - Accent6 18" xfId="355" xr:uid="{00000000-0005-0000-0000-0000E3010000}"/>
    <cellStyle name="20% - Accent6 18 2" xfId="1032" xr:uid="{00000000-0005-0000-0000-0000E4010000}"/>
    <cellStyle name="20% - Accent6 19" xfId="370" xr:uid="{00000000-0005-0000-0000-0000E5010000}"/>
    <cellStyle name="20% - Accent6 19 2" xfId="1047" xr:uid="{00000000-0005-0000-0000-0000E6010000}"/>
    <cellStyle name="20% - Accent6 2" xfId="131" xr:uid="{00000000-0005-0000-0000-0000E7010000}"/>
    <cellStyle name="20% - Accent6 2 2" xfId="808" xr:uid="{00000000-0005-0000-0000-0000E8010000}"/>
    <cellStyle name="20% - Accent6 20" xfId="385" xr:uid="{00000000-0005-0000-0000-0000E9010000}"/>
    <cellStyle name="20% - Accent6 20 2" xfId="1062" xr:uid="{00000000-0005-0000-0000-0000EA010000}"/>
    <cellStyle name="20% - Accent6 21" xfId="399" xr:uid="{00000000-0005-0000-0000-0000EB010000}"/>
    <cellStyle name="20% - Accent6 21 2" xfId="1076" xr:uid="{00000000-0005-0000-0000-0000EC010000}"/>
    <cellStyle name="20% - Accent6 22" xfId="413" xr:uid="{00000000-0005-0000-0000-0000ED010000}"/>
    <cellStyle name="20% - Accent6 22 2" xfId="1090" xr:uid="{00000000-0005-0000-0000-0000EE010000}"/>
    <cellStyle name="20% - Accent6 23" xfId="427" xr:uid="{00000000-0005-0000-0000-0000EF010000}"/>
    <cellStyle name="20% - Accent6 23 2" xfId="1104" xr:uid="{00000000-0005-0000-0000-0000F0010000}"/>
    <cellStyle name="20% - Accent6 24" xfId="441" xr:uid="{00000000-0005-0000-0000-0000F1010000}"/>
    <cellStyle name="20% - Accent6 24 2" xfId="1118" xr:uid="{00000000-0005-0000-0000-0000F2010000}"/>
    <cellStyle name="20% - Accent6 25" xfId="455" xr:uid="{00000000-0005-0000-0000-0000F3010000}"/>
    <cellStyle name="20% - Accent6 25 2" xfId="1132" xr:uid="{00000000-0005-0000-0000-0000F4010000}"/>
    <cellStyle name="20% - Accent6 26" xfId="469" xr:uid="{00000000-0005-0000-0000-0000F5010000}"/>
    <cellStyle name="20% - Accent6 26 2" xfId="1146" xr:uid="{00000000-0005-0000-0000-0000F6010000}"/>
    <cellStyle name="20% - Accent6 27" xfId="483" xr:uid="{00000000-0005-0000-0000-0000F7010000}"/>
    <cellStyle name="20% - Accent6 27 2" xfId="1160" xr:uid="{00000000-0005-0000-0000-0000F8010000}"/>
    <cellStyle name="20% - Accent6 28" xfId="498" xr:uid="{00000000-0005-0000-0000-0000F9010000}"/>
    <cellStyle name="20% - Accent6 28 2" xfId="1175" xr:uid="{00000000-0005-0000-0000-0000FA010000}"/>
    <cellStyle name="20% - Accent6 29" xfId="512" xr:uid="{00000000-0005-0000-0000-0000FB010000}"/>
    <cellStyle name="20% - Accent6 29 2" xfId="1189" xr:uid="{00000000-0005-0000-0000-0000FC010000}"/>
    <cellStyle name="20% - Accent6 3" xfId="145" xr:uid="{00000000-0005-0000-0000-0000FD010000}"/>
    <cellStyle name="20% - Accent6 3 2" xfId="822" xr:uid="{00000000-0005-0000-0000-0000FE010000}"/>
    <cellStyle name="20% - Accent6 30" xfId="526" xr:uid="{00000000-0005-0000-0000-0000FF010000}"/>
    <cellStyle name="20% - Accent6 30 2" xfId="1203" xr:uid="{00000000-0005-0000-0000-000000020000}"/>
    <cellStyle name="20% - Accent6 31" xfId="540" xr:uid="{00000000-0005-0000-0000-000001020000}"/>
    <cellStyle name="20% - Accent6 31 2" xfId="1217" xr:uid="{00000000-0005-0000-0000-000002020000}"/>
    <cellStyle name="20% - Accent6 32" xfId="554" xr:uid="{00000000-0005-0000-0000-000003020000}"/>
    <cellStyle name="20% - Accent6 32 2" xfId="1231" xr:uid="{00000000-0005-0000-0000-000004020000}"/>
    <cellStyle name="20% - Accent6 33" xfId="568" xr:uid="{00000000-0005-0000-0000-000005020000}"/>
    <cellStyle name="20% - Accent6 33 2" xfId="1245" xr:uid="{00000000-0005-0000-0000-000006020000}"/>
    <cellStyle name="20% - Accent6 34" xfId="582" xr:uid="{00000000-0005-0000-0000-000007020000}"/>
    <cellStyle name="20% - Accent6 34 2" xfId="1259" xr:uid="{00000000-0005-0000-0000-000008020000}"/>
    <cellStyle name="20% - Accent6 35" xfId="596" xr:uid="{00000000-0005-0000-0000-000009020000}"/>
    <cellStyle name="20% - Accent6 35 2" xfId="1273" xr:uid="{00000000-0005-0000-0000-00000A020000}"/>
    <cellStyle name="20% - Accent6 36" xfId="610" xr:uid="{00000000-0005-0000-0000-00000B020000}"/>
    <cellStyle name="20% - Accent6 36 2" xfId="1287" xr:uid="{00000000-0005-0000-0000-00000C020000}"/>
    <cellStyle name="20% - Accent6 37" xfId="624" xr:uid="{00000000-0005-0000-0000-00000D020000}"/>
    <cellStyle name="20% - Accent6 37 2" xfId="1301" xr:uid="{00000000-0005-0000-0000-00000E020000}"/>
    <cellStyle name="20% - Accent6 38" xfId="639" xr:uid="{00000000-0005-0000-0000-00000F020000}"/>
    <cellStyle name="20% - Accent6 38 2" xfId="1316" xr:uid="{00000000-0005-0000-0000-000010020000}"/>
    <cellStyle name="20% - Accent6 39" xfId="653" xr:uid="{00000000-0005-0000-0000-000011020000}"/>
    <cellStyle name="20% - Accent6 39 2" xfId="1330" xr:uid="{00000000-0005-0000-0000-000012020000}"/>
    <cellStyle name="20% - Accent6 4" xfId="159" xr:uid="{00000000-0005-0000-0000-000013020000}"/>
    <cellStyle name="20% - Accent6 4 2" xfId="836" xr:uid="{00000000-0005-0000-0000-000014020000}"/>
    <cellStyle name="20% - Accent6 40" xfId="667" xr:uid="{00000000-0005-0000-0000-000015020000}"/>
    <cellStyle name="20% - Accent6 40 2" xfId="1344" xr:uid="{00000000-0005-0000-0000-000016020000}"/>
    <cellStyle name="20% - Accent6 41" xfId="681" xr:uid="{00000000-0005-0000-0000-000017020000}"/>
    <cellStyle name="20% - Accent6 41 2" xfId="1358" xr:uid="{00000000-0005-0000-0000-000018020000}"/>
    <cellStyle name="20% - Accent6 42" xfId="695" xr:uid="{00000000-0005-0000-0000-000019020000}"/>
    <cellStyle name="20% - Accent6 42 2" xfId="1372" xr:uid="{00000000-0005-0000-0000-00001A020000}"/>
    <cellStyle name="20% - Accent6 43" xfId="709" xr:uid="{00000000-0005-0000-0000-00001B020000}"/>
    <cellStyle name="20% - Accent6 43 2" xfId="1388" xr:uid="{00000000-0005-0000-0000-00001C020000}"/>
    <cellStyle name="20% - Accent6 44" xfId="723" xr:uid="{00000000-0005-0000-0000-00001D020000}"/>
    <cellStyle name="20% - Accent6 44 2" xfId="1405" xr:uid="{00000000-0005-0000-0000-00001E020000}"/>
    <cellStyle name="20% - Accent6 45" xfId="739" xr:uid="{00000000-0005-0000-0000-00001F020000}"/>
    <cellStyle name="20% - Accent6 45 2" xfId="1423" xr:uid="{00000000-0005-0000-0000-000020020000}"/>
    <cellStyle name="20% - Accent6 46" xfId="1438" xr:uid="{00000000-0005-0000-0000-000021020000}"/>
    <cellStyle name="20% - Accent6 47" xfId="1468" xr:uid="{00000000-0005-0000-0000-000022020000}"/>
    <cellStyle name="20% - Accent6 48" xfId="1483" xr:uid="{00000000-0005-0000-0000-000023020000}"/>
    <cellStyle name="20% - Accent6 49" xfId="749" xr:uid="{00000000-0005-0000-0000-000024020000}"/>
    <cellStyle name="20% - Accent6 5" xfId="173" xr:uid="{00000000-0005-0000-0000-000025020000}"/>
    <cellStyle name="20% - Accent6 5 2" xfId="850" xr:uid="{00000000-0005-0000-0000-000026020000}"/>
    <cellStyle name="20% - Accent6 50" xfId="1507" xr:uid="{9D16C80C-E86C-4931-90B0-EA1E03906E1E}"/>
    <cellStyle name="20% - Accent6 6" xfId="187" xr:uid="{00000000-0005-0000-0000-000027020000}"/>
    <cellStyle name="20% - Accent6 6 2" xfId="864" xr:uid="{00000000-0005-0000-0000-000028020000}"/>
    <cellStyle name="20% - Accent6 7" xfId="201" xr:uid="{00000000-0005-0000-0000-000029020000}"/>
    <cellStyle name="20% - Accent6 7 2" xfId="878" xr:uid="{00000000-0005-0000-0000-00002A020000}"/>
    <cellStyle name="20% - Accent6 8" xfId="215" xr:uid="{00000000-0005-0000-0000-00002B020000}"/>
    <cellStyle name="20% - Accent6 8 2" xfId="892" xr:uid="{00000000-0005-0000-0000-00002C020000}"/>
    <cellStyle name="20% - Accent6 9" xfId="229" xr:uid="{00000000-0005-0000-0000-00002D020000}"/>
    <cellStyle name="20% - Accent6 9 2" xfId="906" xr:uid="{00000000-0005-0000-0000-00002E020000}"/>
    <cellStyle name="40% - Accent1" xfId="8" builtinId="31" customBuiltin="1"/>
    <cellStyle name="40% - Accent1 10" xfId="234" xr:uid="{00000000-0005-0000-0000-000030020000}"/>
    <cellStyle name="40% - Accent1 10 2" xfId="911" xr:uid="{00000000-0005-0000-0000-000031020000}"/>
    <cellStyle name="40% - Accent1 11" xfId="248" xr:uid="{00000000-0005-0000-0000-000032020000}"/>
    <cellStyle name="40% - Accent1 11 2" xfId="925" xr:uid="{00000000-0005-0000-0000-000033020000}"/>
    <cellStyle name="40% - Accent1 12" xfId="262" xr:uid="{00000000-0005-0000-0000-000034020000}"/>
    <cellStyle name="40% - Accent1 12 2" xfId="939" xr:uid="{00000000-0005-0000-0000-000035020000}"/>
    <cellStyle name="40% - Accent1 13" xfId="276" xr:uid="{00000000-0005-0000-0000-000036020000}"/>
    <cellStyle name="40% - Accent1 13 2" xfId="953" xr:uid="{00000000-0005-0000-0000-000037020000}"/>
    <cellStyle name="40% - Accent1 14" xfId="290" xr:uid="{00000000-0005-0000-0000-000038020000}"/>
    <cellStyle name="40% - Accent1 14 2" xfId="967" xr:uid="{00000000-0005-0000-0000-000039020000}"/>
    <cellStyle name="40% - Accent1 15" xfId="304" xr:uid="{00000000-0005-0000-0000-00003A020000}"/>
    <cellStyle name="40% - Accent1 15 2" xfId="981" xr:uid="{00000000-0005-0000-0000-00003B020000}"/>
    <cellStyle name="40% - Accent1 16" xfId="318" xr:uid="{00000000-0005-0000-0000-00003C020000}"/>
    <cellStyle name="40% - Accent1 16 2" xfId="995" xr:uid="{00000000-0005-0000-0000-00003D020000}"/>
    <cellStyle name="40% - Accent1 17" xfId="332" xr:uid="{00000000-0005-0000-0000-00003E020000}"/>
    <cellStyle name="40% - Accent1 17 2" xfId="1009" xr:uid="{00000000-0005-0000-0000-00003F020000}"/>
    <cellStyle name="40% - Accent1 18" xfId="346" xr:uid="{00000000-0005-0000-0000-000040020000}"/>
    <cellStyle name="40% - Accent1 18 2" xfId="1023" xr:uid="{00000000-0005-0000-0000-000041020000}"/>
    <cellStyle name="40% - Accent1 19" xfId="361" xr:uid="{00000000-0005-0000-0000-000042020000}"/>
    <cellStyle name="40% - Accent1 19 2" xfId="1038" xr:uid="{00000000-0005-0000-0000-000043020000}"/>
    <cellStyle name="40% - Accent1 2" xfId="122" xr:uid="{00000000-0005-0000-0000-000044020000}"/>
    <cellStyle name="40% - Accent1 2 2" xfId="799" xr:uid="{00000000-0005-0000-0000-000045020000}"/>
    <cellStyle name="40% - Accent1 20" xfId="376" xr:uid="{00000000-0005-0000-0000-000046020000}"/>
    <cellStyle name="40% - Accent1 20 2" xfId="1053" xr:uid="{00000000-0005-0000-0000-000047020000}"/>
    <cellStyle name="40% - Accent1 21" xfId="390" xr:uid="{00000000-0005-0000-0000-000048020000}"/>
    <cellStyle name="40% - Accent1 21 2" xfId="1067" xr:uid="{00000000-0005-0000-0000-000049020000}"/>
    <cellStyle name="40% - Accent1 22" xfId="404" xr:uid="{00000000-0005-0000-0000-00004A020000}"/>
    <cellStyle name="40% - Accent1 22 2" xfId="1081" xr:uid="{00000000-0005-0000-0000-00004B020000}"/>
    <cellStyle name="40% - Accent1 23" xfId="418" xr:uid="{00000000-0005-0000-0000-00004C020000}"/>
    <cellStyle name="40% - Accent1 23 2" xfId="1095" xr:uid="{00000000-0005-0000-0000-00004D020000}"/>
    <cellStyle name="40% - Accent1 24" xfId="432" xr:uid="{00000000-0005-0000-0000-00004E020000}"/>
    <cellStyle name="40% - Accent1 24 2" xfId="1109" xr:uid="{00000000-0005-0000-0000-00004F020000}"/>
    <cellStyle name="40% - Accent1 25" xfId="446" xr:uid="{00000000-0005-0000-0000-000050020000}"/>
    <cellStyle name="40% - Accent1 25 2" xfId="1123" xr:uid="{00000000-0005-0000-0000-000051020000}"/>
    <cellStyle name="40% - Accent1 26" xfId="460" xr:uid="{00000000-0005-0000-0000-000052020000}"/>
    <cellStyle name="40% - Accent1 26 2" xfId="1137" xr:uid="{00000000-0005-0000-0000-000053020000}"/>
    <cellStyle name="40% - Accent1 27" xfId="474" xr:uid="{00000000-0005-0000-0000-000054020000}"/>
    <cellStyle name="40% - Accent1 27 2" xfId="1151" xr:uid="{00000000-0005-0000-0000-000055020000}"/>
    <cellStyle name="40% - Accent1 28" xfId="489" xr:uid="{00000000-0005-0000-0000-000056020000}"/>
    <cellStyle name="40% - Accent1 28 2" xfId="1166" xr:uid="{00000000-0005-0000-0000-000057020000}"/>
    <cellStyle name="40% - Accent1 29" xfId="503" xr:uid="{00000000-0005-0000-0000-000058020000}"/>
    <cellStyle name="40% - Accent1 29 2" xfId="1180" xr:uid="{00000000-0005-0000-0000-000059020000}"/>
    <cellStyle name="40% - Accent1 3" xfId="136" xr:uid="{00000000-0005-0000-0000-00005A020000}"/>
    <cellStyle name="40% - Accent1 3 2" xfId="813" xr:uid="{00000000-0005-0000-0000-00005B020000}"/>
    <cellStyle name="40% - Accent1 30" xfId="517" xr:uid="{00000000-0005-0000-0000-00005C020000}"/>
    <cellStyle name="40% - Accent1 30 2" xfId="1194" xr:uid="{00000000-0005-0000-0000-00005D020000}"/>
    <cellStyle name="40% - Accent1 31" xfId="531" xr:uid="{00000000-0005-0000-0000-00005E020000}"/>
    <cellStyle name="40% - Accent1 31 2" xfId="1208" xr:uid="{00000000-0005-0000-0000-00005F020000}"/>
    <cellStyle name="40% - Accent1 32" xfId="545" xr:uid="{00000000-0005-0000-0000-000060020000}"/>
    <cellStyle name="40% - Accent1 32 2" xfId="1222" xr:uid="{00000000-0005-0000-0000-000061020000}"/>
    <cellStyle name="40% - Accent1 33" xfId="559" xr:uid="{00000000-0005-0000-0000-000062020000}"/>
    <cellStyle name="40% - Accent1 33 2" xfId="1236" xr:uid="{00000000-0005-0000-0000-000063020000}"/>
    <cellStyle name="40% - Accent1 34" xfId="573" xr:uid="{00000000-0005-0000-0000-000064020000}"/>
    <cellStyle name="40% - Accent1 34 2" xfId="1250" xr:uid="{00000000-0005-0000-0000-000065020000}"/>
    <cellStyle name="40% - Accent1 35" xfId="587" xr:uid="{00000000-0005-0000-0000-000066020000}"/>
    <cellStyle name="40% - Accent1 35 2" xfId="1264" xr:uid="{00000000-0005-0000-0000-000067020000}"/>
    <cellStyle name="40% - Accent1 36" xfId="601" xr:uid="{00000000-0005-0000-0000-000068020000}"/>
    <cellStyle name="40% - Accent1 36 2" xfId="1278" xr:uid="{00000000-0005-0000-0000-000069020000}"/>
    <cellStyle name="40% - Accent1 37" xfId="615" xr:uid="{00000000-0005-0000-0000-00006A020000}"/>
    <cellStyle name="40% - Accent1 37 2" xfId="1292" xr:uid="{00000000-0005-0000-0000-00006B020000}"/>
    <cellStyle name="40% - Accent1 38" xfId="630" xr:uid="{00000000-0005-0000-0000-00006C020000}"/>
    <cellStyle name="40% - Accent1 38 2" xfId="1307" xr:uid="{00000000-0005-0000-0000-00006D020000}"/>
    <cellStyle name="40% - Accent1 39" xfId="644" xr:uid="{00000000-0005-0000-0000-00006E020000}"/>
    <cellStyle name="40% - Accent1 39 2" xfId="1321" xr:uid="{00000000-0005-0000-0000-00006F020000}"/>
    <cellStyle name="40% - Accent1 4" xfId="150" xr:uid="{00000000-0005-0000-0000-000070020000}"/>
    <cellStyle name="40% - Accent1 4 2" xfId="827" xr:uid="{00000000-0005-0000-0000-000071020000}"/>
    <cellStyle name="40% - Accent1 40" xfId="658" xr:uid="{00000000-0005-0000-0000-000072020000}"/>
    <cellStyle name="40% - Accent1 40 2" xfId="1335" xr:uid="{00000000-0005-0000-0000-000073020000}"/>
    <cellStyle name="40% - Accent1 41" xfId="672" xr:uid="{00000000-0005-0000-0000-000074020000}"/>
    <cellStyle name="40% - Accent1 41 2" xfId="1349" xr:uid="{00000000-0005-0000-0000-000075020000}"/>
    <cellStyle name="40% - Accent1 42" xfId="686" xr:uid="{00000000-0005-0000-0000-000076020000}"/>
    <cellStyle name="40% - Accent1 42 2" xfId="1363" xr:uid="{00000000-0005-0000-0000-000077020000}"/>
    <cellStyle name="40% - Accent1 43" xfId="700" xr:uid="{00000000-0005-0000-0000-000078020000}"/>
    <cellStyle name="40% - Accent1 43 2" xfId="1379" xr:uid="{00000000-0005-0000-0000-000079020000}"/>
    <cellStyle name="40% - Accent1 44" xfId="714" xr:uid="{00000000-0005-0000-0000-00007A020000}"/>
    <cellStyle name="40% - Accent1 44 2" xfId="1396" xr:uid="{00000000-0005-0000-0000-00007B020000}"/>
    <cellStyle name="40% - Accent1 45" xfId="730" xr:uid="{00000000-0005-0000-0000-00007C020000}"/>
    <cellStyle name="40% - Accent1 45 2" xfId="1414" xr:uid="{00000000-0005-0000-0000-00007D020000}"/>
    <cellStyle name="40% - Accent1 46" xfId="1429" xr:uid="{00000000-0005-0000-0000-00007E020000}"/>
    <cellStyle name="40% - Accent1 47" xfId="1459" xr:uid="{00000000-0005-0000-0000-00007F020000}"/>
    <cellStyle name="40% - Accent1 48" xfId="1474" xr:uid="{00000000-0005-0000-0000-000080020000}"/>
    <cellStyle name="40% - Accent1 49" xfId="750" xr:uid="{00000000-0005-0000-0000-000081020000}"/>
    <cellStyle name="40% - Accent1 5" xfId="164" xr:uid="{00000000-0005-0000-0000-000082020000}"/>
    <cellStyle name="40% - Accent1 5 2" xfId="841" xr:uid="{00000000-0005-0000-0000-000083020000}"/>
    <cellStyle name="40% - Accent1 50" xfId="1493" xr:uid="{2039CAE8-F03F-4667-8AAD-956DA8514748}"/>
    <cellStyle name="40% - Accent1 6" xfId="178" xr:uid="{00000000-0005-0000-0000-000084020000}"/>
    <cellStyle name="40% - Accent1 6 2" xfId="855" xr:uid="{00000000-0005-0000-0000-000085020000}"/>
    <cellStyle name="40% - Accent1 7" xfId="192" xr:uid="{00000000-0005-0000-0000-000086020000}"/>
    <cellStyle name="40% - Accent1 7 2" xfId="869" xr:uid="{00000000-0005-0000-0000-000087020000}"/>
    <cellStyle name="40% - Accent1 8" xfId="206" xr:uid="{00000000-0005-0000-0000-000088020000}"/>
    <cellStyle name="40% - Accent1 8 2" xfId="883" xr:uid="{00000000-0005-0000-0000-000089020000}"/>
    <cellStyle name="40% - Accent1 9" xfId="220" xr:uid="{00000000-0005-0000-0000-00008A020000}"/>
    <cellStyle name="40% - Accent1 9 2" xfId="897" xr:uid="{00000000-0005-0000-0000-00008B020000}"/>
    <cellStyle name="40% - Accent2" xfId="9" builtinId="35" customBuiltin="1"/>
    <cellStyle name="40% - Accent2 10" xfId="236" xr:uid="{00000000-0005-0000-0000-00008D020000}"/>
    <cellStyle name="40% - Accent2 10 2" xfId="913" xr:uid="{00000000-0005-0000-0000-00008E020000}"/>
    <cellStyle name="40% - Accent2 11" xfId="250" xr:uid="{00000000-0005-0000-0000-00008F020000}"/>
    <cellStyle name="40% - Accent2 11 2" xfId="927" xr:uid="{00000000-0005-0000-0000-000090020000}"/>
    <cellStyle name="40% - Accent2 12" xfId="264" xr:uid="{00000000-0005-0000-0000-000091020000}"/>
    <cellStyle name="40% - Accent2 12 2" xfId="941" xr:uid="{00000000-0005-0000-0000-000092020000}"/>
    <cellStyle name="40% - Accent2 13" xfId="278" xr:uid="{00000000-0005-0000-0000-000093020000}"/>
    <cellStyle name="40% - Accent2 13 2" xfId="955" xr:uid="{00000000-0005-0000-0000-000094020000}"/>
    <cellStyle name="40% - Accent2 14" xfId="292" xr:uid="{00000000-0005-0000-0000-000095020000}"/>
    <cellStyle name="40% - Accent2 14 2" xfId="969" xr:uid="{00000000-0005-0000-0000-000096020000}"/>
    <cellStyle name="40% - Accent2 15" xfId="306" xr:uid="{00000000-0005-0000-0000-000097020000}"/>
    <cellStyle name="40% - Accent2 15 2" xfId="983" xr:uid="{00000000-0005-0000-0000-000098020000}"/>
    <cellStyle name="40% - Accent2 16" xfId="320" xr:uid="{00000000-0005-0000-0000-000099020000}"/>
    <cellStyle name="40% - Accent2 16 2" xfId="997" xr:uid="{00000000-0005-0000-0000-00009A020000}"/>
    <cellStyle name="40% - Accent2 17" xfId="334" xr:uid="{00000000-0005-0000-0000-00009B020000}"/>
    <cellStyle name="40% - Accent2 17 2" xfId="1011" xr:uid="{00000000-0005-0000-0000-00009C020000}"/>
    <cellStyle name="40% - Accent2 18" xfId="348" xr:uid="{00000000-0005-0000-0000-00009D020000}"/>
    <cellStyle name="40% - Accent2 18 2" xfId="1025" xr:uid="{00000000-0005-0000-0000-00009E020000}"/>
    <cellStyle name="40% - Accent2 19" xfId="363" xr:uid="{00000000-0005-0000-0000-00009F020000}"/>
    <cellStyle name="40% - Accent2 19 2" xfId="1040" xr:uid="{00000000-0005-0000-0000-0000A0020000}"/>
    <cellStyle name="40% - Accent2 2" xfId="124" xr:uid="{00000000-0005-0000-0000-0000A1020000}"/>
    <cellStyle name="40% - Accent2 2 2" xfId="801" xr:uid="{00000000-0005-0000-0000-0000A2020000}"/>
    <cellStyle name="40% - Accent2 20" xfId="378" xr:uid="{00000000-0005-0000-0000-0000A3020000}"/>
    <cellStyle name="40% - Accent2 20 2" xfId="1055" xr:uid="{00000000-0005-0000-0000-0000A4020000}"/>
    <cellStyle name="40% - Accent2 21" xfId="392" xr:uid="{00000000-0005-0000-0000-0000A5020000}"/>
    <cellStyle name="40% - Accent2 21 2" xfId="1069" xr:uid="{00000000-0005-0000-0000-0000A6020000}"/>
    <cellStyle name="40% - Accent2 22" xfId="406" xr:uid="{00000000-0005-0000-0000-0000A7020000}"/>
    <cellStyle name="40% - Accent2 22 2" xfId="1083" xr:uid="{00000000-0005-0000-0000-0000A8020000}"/>
    <cellStyle name="40% - Accent2 23" xfId="420" xr:uid="{00000000-0005-0000-0000-0000A9020000}"/>
    <cellStyle name="40% - Accent2 23 2" xfId="1097" xr:uid="{00000000-0005-0000-0000-0000AA020000}"/>
    <cellStyle name="40% - Accent2 24" xfId="434" xr:uid="{00000000-0005-0000-0000-0000AB020000}"/>
    <cellStyle name="40% - Accent2 24 2" xfId="1111" xr:uid="{00000000-0005-0000-0000-0000AC020000}"/>
    <cellStyle name="40% - Accent2 25" xfId="448" xr:uid="{00000000-0005-0000-0000-0000AD020000}"/>
    <cellStyle name="40% - Accent2 25 2" xfId="1125" xr:uid="{00000000-0005-0000-0000-0000AE020000}"/>
    <cellStyle name="40% - Accent2 26" xfId="462" xr:uid="{00000000-0005-0000-0000-0000AF020000}"/>
    <cellStyle name="40% - Accent2 26 2" xfId="1139" xr:uid="{00000000-0005-0000-0000-0000B0020000}"/>
    <cellStyle name="40% - Accent2 27" xfId="476" xr:uid="{00000000-0005-0000-0000-0000B1020000}"/>
    <cellStyle name="40% - Accent2 27 2" xfId="1153" xr:uid="{00000000-0005-0000-0000-0000B2020000}"/>
    <cellStyle name="40% - Accent2 28" xfId="491" xr:uid="{00000000-0005-0000-0000-0000B3020000}"/>
    <cellStyle name="40% - Accent2 28 2" xfId="1168" xr:uid="{00000000-0005-0000-0000-0000B4020000}"/>
    <cellStyle name="40% - Accent2 29" xfId="505" xr:uid="{00000000-0005-0000-0000-0000B5020000}"/>
    <cellStyle name="40% - Accent2 29 2" xfId="1182" xr:uid="{00000000-0005-0000-0000-0000B6020000}"/>
    <cellStyle name="40% - Accent2 3" xfId="138" xr:uid="{00000000-0005-0000-0000-0000B7020000}"/>
    <cellStyle name="40% - Accent2 3 2" xfId="815" xr:uid="{00000000-0005-0000-0000-0000B8020000}"/>
    <cellStyle name="40% - Accent2 30" xfId="519" xr:uid="{00000000-0005-0000-0000-0000B9020000}"/>
    <cellStyle name="40% - Accent2 30 2" xfId="1196" xr:uid="{00000000-0005-0000-0000-0000BA020000}"/>
    <cellStyle name="40% - Accent2 31" xfId="533" xr:uid="{00000000-0005-0000-0000-0000BB020000}"/>
    <cellStyle name="40% - Accent2 31 2" xfId="1210" xr:uid="{00000000-0005-0000-0000-0000BC020000}"/>
    <cellStyle name="40% - Accent2 32" xfId="547" xr:uid="{00000000-0005-0000-0000-0000BD020000}"/>
    <cellStyle name="40% - Accent2 32 2" xfId="1224" xr:uid="{00000000-0005-0000-0000-0000BE020000}"/>
    <cellStyle name="40% - Accent2 33" xfId="561" xr:uid="{00000000-0005-0000-0000-0000BF020000}"/>
    <cellStyle name="40% - Accent2 33 2" xfId="1238" xr:uid="{00000000-0005-0000-0000-0000C0020000}"/>
    <cellStyle name="40% - Accent2 34" xfId="575" xr:uid="{00000000-0005-0000-0000-0000C1020000}"/>
    <cellStyle name="40% - Accent2 34 2" xfId="1252" xr:uid="{00000000-0005-0000-0000-0000C2020000}"/>
    <cellStyle name="40% - Accent2 35" xfId="589" xr:uid="{00000000-0005-0000-0000-0000C3020000}"/>
    <cellStyle name="40% - Accent2 35 2" xfId="1266" xr:uid="{00000000-0005-0000-0000-0000C4020000}"/>
    <cellStyle name="40% - Accent2 36" xfId="603" xr:uid="{00000000-0005-0000-0000-0000C5020000}"/>
    <cellStyle name="40% - Accent2 36 2" xfId="1280" xr:uid="{00000000-0005-0000-0000-0000C6020000}"/>
    <cellStyle name="40% - Accent2 37" xfId="617" xr:uid="{00000000-0005-0000-0000-0000C7020000}"/>
    <cellStyle name="40% - Accent2 37 2" xfId="1294" xr:uid="{00000000-0005-0000-0000-0000C8020000}"/>
    <cellStyle name="40% - Accent2 38" xfId="632" xr:uid="{00000000-0005-0000-0000-0000C9020000}"/>
    <cellStyle name="40% - Accent2 38 2" xfId="1309" xr:uid="{00000000-0005-0000-0000-0000CA020000}"/>
    <cellStyle name="40% - Accent2 39" xfId="646" xr:uid="{00000000-0005-0000-0000-0000CB020000}"/>
    <cellStyle name="40% - Accent2 39 2" xfId="1323" xr:uid="{00000000-0005-0000-0000-0000CC020000}"/>
    <cellStyle name="40% - Accent2 4" xfId="152" xr:uid="{00000000-0005-0000-0000-0000CD020000}"/>
    <cellStyle name="40% - Accent2 4 2" xfId="829" xr:uid="{00000000-0005-0000-0000-0000CE020000}"/>
    <cellStyle name="40% - Accent2 40" xfId="660" xr:uid="{00000000-0005-0000-0000-0000CF020000}"/>
    <cellStyle name="40% - Accent2 40 2" xfId="1337" xr:uid="{00000000-0005-0000-0000-0000D0020000}"/>
    <cellStyle name="40% - Accent2 41" xfId="674" xr:uid="{00000000-0005-0000-0000-0000D1020000}"/>
    <cellStyle name="40% - Accent2 41 2" xfId="1351" xr:uid="{00000000-0005-0000-0000-0000D2020000}"/>
    <cellStyle name="40% - Accent2 42" xfId="688" xr:uid="{00000000-0005-0000-0000-0000D3020000}"/>
    <cellStyle name="40% - Accent2 42 2" xfId="1365" xr:uid="{00000000-0005-0000-0000-0000D4020000}"/>
    <cellStyle name="40% - Accent2 43" xfId="702" xr:uid="{00000000-0005-0000-0000-0000D5020000}"/>
    <cellStyle name="40% - Accent2 43 2" xfId="1381" xr:uid="{00000000-0005-0000-0000-0000D6020000}"/>
    <cellStyle name="40% - Accent2 44" xfId="716" xr:uid="{00000000-0005-0000-0000-0000D7020000}"/>
    <cellStyle name="40% - Accent2 44 2" xfId="1398" xr:uid="{00000000-0005-0000-0000-0000D8020000}"/>
    <cellStyle name="40% - Accent2 45" xfId="732" xr:uid="{00000000-0005-0000-0000-0000D9020000}"/>
    <cellStyle name="40% - Accent2 45 2" xfId="1416" xr:uid="{00000000-0005-0000-0000-0000DA020000}"/>
    <cellStyle name="40% - Accent2 46" xfId="1431" xr:uid="{00000000-0005-0000-0000-0000DB020000}"/>
    <cellStyle name="40% - Accent2 47" xfId="1461" xr:uid="{00000000-0005-0000-0000-0000DC020000}"/>
    <cellStyle name="40% - Accent2 48" xfId="1476" xr:uid="{00000000-0005-0000-0000-0000DD020000}"/>
    <cellStyle name="40% - Accent2 49" xfId="751" xr:uid="{00000000-0005-0000-0000-0000DE020000}"/>
    <cellStyle name="40% - Accent2 5" xfId="166" xr:uid="{00000000-0005-0000-0000-0000DF020000}"/>
    <cellStyle name="40% - Accent2 5 2" xfId="843" xr:uid="{00000000-0005-0000-0000-0000E0020000}"/>
    <cellStyle name="40% - Accent2 50" xfId="1496" xr:uid="{2CF77E89-64E5-4BA7-A1D1-FF8EABD42E6E}"/>
    <cellStyle name="40% - Accent2 6" xfId="180" xr:uid="{00000000-0005-0000-0000-0000E1020000}"/>
    <cellStyle name="40% - Accent2 6 2" xfId="857" xr:uid="{00000000-0005-0000-0000-0000E2020000}"/>
    <cellStyle name="40% - Accent2 7" xfId="194" xr:uid="{00000000-0005-0000-0000-0000E3020000}"/>
    <cellStyle name="40% - Accent2 7 2" xfId="871" xr:uid="{00000000-0005-0000-0000-0000E4020000}"/>
    <cellStyle name="40% - Accent2 8" xfId="208" xr:uid="{00000000-0005-0000-0000-0000E5020000}"/>
    <cellStyle name="40% - Accent2 8 2" xfId="885" xr:uid="{00000000-0005-0000-0000-0000E6020000}"/>
    <cellStyle name="40% - Accent2 9" xfId="222" xr:uid="{00000000-0005-0000-0000-0000E7020000}"/>
    <cellStyle name="40% - Accent2 9 2" xfId="899" xr:uid="{00000000-0005-0000-0000-0000E8020000}"/>
    <cellStyle name="40% - Accent3" xfId="10" builtinId="39" customBuiltin="1"/>
    <cellStyle name="40% - Accent3 10" xfId="238" xr:uid="{00000000-0005-0000-0000-0000EA020000}"/>
    <cellStyle name="40% - Accent3 10 2" xfId="915" xr:uid="{00000000-0005-0000-0000-0000EB020000}"/>
    <cellStyle name="40% - Accent3 11" xfId="252" xr:uid="{00000000-0005-0000-0000-0000EC020000}"/>
    <cellStyle name="40% - Accent3 11 2" xfId="929" xr:uid="{00000000-0005-0000-0000-0000ED020000}"/>
    <cellStyle name="40% - Accent3 12" xfId="266" xr:uid="{00000000-0005-0000-0000-0000EE020000}"/>
    <cellStyle name="40% - Accent3 12 2" xfId="943" xr:uid="{00000000-0005-0000-0000-0000EF020000}"/>
    <cellStyle name="40% - Accent3 13" xfId="280" xr:uid="{00000000-0005-0000-0000-0000F0020000}"/>
    <cellStyle name="40% - Accent3 13 2" xfId="957" xr:uid="{00000000-0005-0000-0000-0000F1020000}"/>
    <cellStyle name="40% - Accent3 14" xfId="294" xr:uid="{00000000-0005-0000-0000-0000F2020000}"/>
    <cellStyle name="40% - Accent3 14 2" xfId="971" xr:uid="{00000000-0005-0000-0000-0000F3020000}"/>
    <cellStyle name="40% - Accent3 15" xfId="308" xr:uid="{00000000-0005-0000-0000-0000F4020000}"/>
    <cellStyle name="40% - Accent3 15 2" xfId="985" xr:uid="{00000000-0005-0000-0000-0000F5020000}"/>
    <cellStyle name="40% - Accent3 16" xfId="322" xr:uid="{00000000-0005-0000-0000-0000F6020000}"/>
    <cellStyle name="40% - Accent3 16 2" xfId="999" xr:uid="{00000000-0005-0000-0000-0000F7020000}"/>
    <cellStyle name="40% - Accent3 17" xfId="336" xr:uid="{00000000-0005-0000-0000-0000F8020000}"/>
    <cellStyle name="40% - Accent3 17 2" xfId="1013" xr:uid="{00000000-0005-0000-0000-0000F9020000}"/>
    <cellStyle name="40% - Accent3 18" xfId="350" xr:uid="{00000000-0005-0000-0000-0000FA020000}"/>
    <cellStyle name="40% - Accent3 18 2" xfId="1027" xr:uid="{00000000-0005-0000-0000-0000FB020000}"/>
    <cellStyle name="40% - Accent3 19" xfId="365" xr:uid="{00000000-0005-0000-0000-0000FC020000}"/>
    <cellStyle name="40% - Accent3 19 2" xfId="1042" xr:uid="{00000000-0005-0000-0000-0000FD020000}"/>
    <cellStyle name="40% - Accent3 2" xfId="126" xr:uid="{00000000-0005-0000-0000-0000FE020000}"/>
    <cellStyle name="40% - Accent3 2 2" xfId="803" xr:uid="{00000000-0005-0000-0000-0000FF020000}"/>
    <cellStyle name="40% - Accent3 20" xfId="380" xr:uid="{00000000-0005-0000-0000-000000030000}"/>
    <cellStyle name="40% - Accent3 20 2" xfId="1057" xr:uid="{00000000-0005-0000-0000-000001030000}"/>
    <cellStyle name="40% - Accent3 21" xfId="394" xr:uid="{00000000-0005-0000-0000-000002030000}"/>
    <cellStyle name="40% - Accent3 21 2" xfId="1071" xr:uid="{00000000-0005-0000-0000-000003030000}"/>
    <cellStyle name="40% - Accent3 22" xfId="408" xr:uid="{00000000-0005-0000-0000-000004030000}"/>
    <cellStyle name="40% - Accent3 22 2" xfId="1085" xr:uid="{00000000-0005-0000-0000-000005030000}"/>
    <cellStyle name="40% - Accent3 23" xfId="422" xr:uid="{00000000-0005-0000-0000-000006030000}"/>
    <cellStyle name="40% - Accent3 23 2" xfId="1099" xr:uid="{00000000-0005-0000-0000-000007030000}"/>
    <cellStyle name="40% - Accent3 24" xfId="436" xr:uid="{00000000-0005-0000-0000-000008030000}"/>
    <cellStyle name="40% - Accent3 24 2" xfId="1113" xr:uid="{00000000-0005-0000-0000-000009030000}"/>
    <cellStyle name="40% - Accent3 25" xfId="450" xr:uid="{00000000-0005-0000-0000-00000A030000}"/>
    <cellStyle name="40% - Accent3 25 2" xfId="1127" xr:uid="{00000000-0005-0000-0000-00000B030000}"/>
    <cellStyle name="40% - Accent3 26" xfId="464" xr:uid="{00000000-0005-0000-0000-00000C030000}"/>
    <cellStyle name="40% - Accent3 26 2" xfId="1141" xr:uid="{00000000-0005-0000-0000-00000D030000}"/>
    <cellStyle name="40% - Accent3 27" xfId="478" xr:uid="{00000000-0005-0000-0000-00000E030000}"/>
    <cellStyle name="40% - Accent3 27 2" xfId="1155" xr:uid="{00000000-0005-0000-0000-00000F030000}"/>
    <cellStyle name="40% - Accent3 28" xfId="493" xr:uid="{00000000-0005-0000-0000-000010030000}"/>
    <cellStyle name="40% - Accent3 28 2" xfId="1170" xr:uid="{00000000-0005-0000-0000-000011030000}"/>
    <cellStyle name="40% - Accent3 29" xfId="507" xr:uid="{00000000-0005-0000-0000-000012030000}"/>
    <cellStyle name="40% - Accent3 29 2" xfId="1184" xr:uid="{00000000-0005-0000-0000-000013030000}"/>
    <cellStyle name="40% - Accent3 3" xfId="140" xr:uid="{00000000-0005-0000-0000-000014030000}"/>
    <cellStyle name="40% - Accent3 3 2" xfId="817" xr:uid="{00000000-0005-0000-0000-000015030000}"/>
    <cellStyle name="40% - Accent3 30" xfId="521" xr:uid="{00000000-0005-0000-0000-000016030000}"/>
    <cellStyle name="40% - Accent3 30 2" xfId="1198" xr:uid="{00000000-0005-0000-0000-000017030000}"/>
    <cellStyle name="40% - Accent3 31" xfId="535" xr:uid="{00000000-0005-0000-0000-000018030000}"/>
    <cellStyle name="40% - Accent3 31 2" xfId="1212" xr:uid="{00000000-0005-0000-0000-000019030000}"/>
    <cellStyle name="40% - Accent3 32" xfId="549" xr:uid="{00000000-0005-0000-0000-00001A030000}"/>
    <cellStyle name="40% - Accent3 32 2" xfId="1226" xr:uid="{00000000-0005-0000-0000-00001B030000}"/>
    <cellStyle name="40% - Accent3 33" xfId="563" xr:uid="{00000000-0005-0000-0000-00001C030000}"/>
    <cellStyle name="40% - Accent3 33 2" xfId="1240" xr:uid="{00000000-0005-0000-0000-00001D030000}"/>
    <cellStyle name="40% - Accent3 34" xfId="577" xr:uid="{00000000-0005-0000-0000-00001E030000}"/>
    <cellStyle name="40% - Accent3 34 2" xfId="1254" xr:uid="{00000000-0005-0000-0000-00001F030000}"/>
    <cellStyle name="40% - Accent3 35" xfId="591" xr:uid="{00000000-0005-0000-0000-000020030000}"/>
    <cellStyle name="40% - Accent3 35 2" xfId="1268" xr:uid="{00000000-0005-0000-0000-000021030000}"/>
    <cellStyle name="40% - Accent3 36" xfId="605" xr:uid="{00000000-0005-0000-0000-000022030000}"/>
    <cellStyle name="40% - Accent3 36 2" xfId="1282" xr:uid="{00000000-0005-0000-0000-000023030000}"/>
    <cellStyle name="40% - Accent3 37" xfId="619" xr:uid="{00000000-0005-0000-0000-000024030000}"/>
    <cellStyle name="40% - Accent3 37 2" xfId="1296" xr:uid="{00000000-0005-0000-0000-000025030000}"/>
    <cellStyle name="40% - Accent3 38" xfId="634" xr:uid="{00000000-0005-0000-0000-000026030000}"/>
    <cellStyle name="40% - Accent3 38 2" xfId="1311" xr:uid="{00000000-0005-0000-0000-000027030000}"/>
    <cellStyle name="40% - Accent3 39" xfId="648" xr:uid="{00000000-0005-0000-0000-000028030000}"/>
    <cellStyle name="40% - Accent3 39 2" xfId="1325" xr:uid="{00000000-0005-0000-0000-000029030000}"/>
    <cellStyle name="40% - Accent3 4" xfId="154" xr:uid="{00000000-0005-0000-0000-00002A030000}"/>
    <cellStyle name="40% - Accent3 4 2" xfId="831" xr:uid="{00000000-0005-0000-0000-00002B030000}"/>
    <cellStyle name="40% - Accent3 40" xfId="662" xr:uid="{00000000-0005-0000-0000-00002C030000}"/>
    <cellStyle name="40% - Accent3 40 2" xfId="1339" xr:uid="{00000000-0005-0000-0000-00002D030000}"/>
    <cellStyle name="40% - Accent3 41" xfId="676" xr:uid="{00000000-0005-0000-0000-00002E030000}"/>
    <cellStyle name="40% - Accent3 41 2" xfId="1353" xr:uid="{00000000-0005-0000-0000-00002F030000}"/>
    <cellStyle name="40% - Accent3 42" xfId="690" xr:uid="{00000000-0005-0000-0000-000030030000}"/>
    <cellStyle name="40% - Accent3 42 2" xfId="1367" xr:uid="{00000000-0005-0000-0000-000031030000}"/>
    <cellStyle name="40% - Accent3 43" xfId="704" xr:uid="{00000000-0005-0000-0000-000032030000}"/>
    <cellStyle name="40% - Accent3 43 2" xfId="1383" xr:uid="{00000000-0005-0000-0000-000033030000}"/>
    <cellStyle name="40% - Accent3 44" xfId="718" xr:uid="{00000000-0005-0000-0000-000034030000}"/>
    <cellStyle name="40% - Accent3 44 2" xfId="1400" xr:uid="{00000000-0005-0000-0000-000035030000}"/>
    <cellStyle name="40% - Accent3 45" xfId="734" xr:uid="{00000000-0005-0000-0000-000036030000}"/>
    <cellStyle name="40% - Accent3 45 2" xfId="1418" xr:uid="{00000000-0005-0000-0000-000037030000}"/>
    <cellStyle name="40% - Accent3 46" xfId="1433" xr:uid="{00000000-0005-0000-0000-000038030000}"/>
    <cellStyle name="40% - Accent3 47" xfId="1463" xr:uid="{00000000-0005-0000-0000-000039030000}"/>
    <cellStyle name="40% - Accent3 48" xfId="1478" xr:uid="{00000000-0005-0000-0000-00003A030000}"/>
    <cellStyle name="40% - Accent3 49" xfId="752" xr:uid="{00000000-0005-0000-0000-00003B030000}"/>
    <cellStyle name="40% - Accent3 5" xfId="168" xr:uid="{00000000-0005-0000-0000-00003C030000}"/>
    <cellStyle name="40% - Accent3 5 2" xfId="845" xr:uid="{00000000-0005-0000-0000-00003D030000}"/>
    <cellStyle name="40% - Accent3 50" xfId="1499" xr:uid="{1689DA78-7034-4918-B65C-DD96E428A03F}"/>
    <cellStyle name="40% - Accent3 6" xfId="182" xr:uid="{00000000-0005-0000-0000-00003E030000}"/>
    <cellStyle name="40% - Accent3 6 2" xfId="859" xr:uid="{00000000-0005-0000-0000-00003F030000}"/>
    <cellStyle name="40% - Accent3 7" xfId="196" xr:uid="{00000000-0005-0000-0000-000040030000}"/>
    <cellStyle name="40% - Accent3 7 2" xfId="873" xr:uid="{00000000-0005-0000-0000-000041030000}"/>
    <cellStyle name="40% - Accent3 8" xfId="210" xr:uid="{00000000-0005-0000-0000-000042030000}"/>
    <cellStyle name="40% - Accent3 8 2" xfId="887" xr:uid="{00000000-0005-0000-0000-000043030000}"/>
    <cellStyle name="40% - Accent3 9" xfId="224" xr:uid="{00000000-0005-0000-0000-000044030000}"/>
    <cellStyle name="40% - Accent3 9 2" xfId="901" xr:uid="{00000000-0005-0000-0000-000045030000}"/>
    <cellStyle name="40% - Accent4" xfId="11" builtinId="43" customBuiltin="1"/>
    <cellStyle name="40% - Accent4 10" xfId="240" xr:uid="{00000000-0005-0000-0000-000047030000}"/>
    <cellStyle name="40% - Accent4 10 2" xfId="917" xr:uid="{00000000-0005-0000-0000-000048030000}"/>
    <cellStyle name="40% - Accent4 11" xfId="254" xr:uid="{00000000-0005-0000-0000-000049030000}"/>
    <cellStyle name="40% - Accent4 11 2" xfId="931" xr:uid="{00000000-0005-0000-0000-00004A030000}"/>
    <cellStyle name="40% - Accent4 12" xfId="268" xr:uid="{00000000-0005-0000-0000-00004B030000}"/>
    <cellStyle name="40% - Accent4 12 2" xfId="945" xr:uid="{00000000-0005-0000-0000-00004C030000}"/>
    <cellStyle name="40% - Accent4 13" xfId="282" xr:uid="{00000000-0005-0000-0000-00004D030000}"/>
    <cellStyle name="40% - Accent4 13 2" xfId="959" xr:uid="{00000000-0005-0000-0000-00004E030000}"/>
    <cellStyle name="40% - Accent4 14" xfId="296" xr:uid="{00000000-0005-0000-0000-00004F030000}"/>
    <cellStyle name="40% - Accent4 14 2" xfId="973" xr:uid="{00000000-0005-0000-0000-000050030000}"/>
    <cellStyle name="40% - Accent4 15" xfId="310" xr:uid="{00000000-0005-0000-0000-000051030000}"/>
    <cellStyle name="40% - Accent4 15 2" xfId="987" xr:uid="{00000000-0005-0000-0000-000052030000}"/>
    <cellStyle name="40% - Accent4 16" xfId="324" xr:uid="{00000000-0005-0000-0000-000053030000}"/>
    <cellStyle name="40% - Accent4 16 2" xfId="1001" xr:uid="{00000000-0005-0000-0000-000054030000}"/>
    <cellStyle name="40% - Accent4 17" xfId="338" xr:uid="{00000000-0005-0000-0000-000055030000}"/>
    <cellStyle name="40% - Accent4 17 2" xfId="1015" xr:uid="{00000000-0005-0000-0000-000056030000}"/>
    <cellStyle name="40% - Accent4 18" xfId="352" xr:uid="{00000000-0005-0000-0000-000057030000}"/>
    <cellStyle name="40% - Accent4 18 2" xfId="1029" xr:uid="{00000000-0005-0000-0000-000058030000}"/>
    <cellStyle name="40% - Accent4 19" xfId="367" xr:uid="{00000000-0005-0000-0000-000059030000}"/>
    <cellStyle name="40% - Accent4 19 2" xfId="1044" xr:uid="{00000000-0005-0000-0000-00005A030000}"/>
    <cellStyle name="40% - Accent4 2" xfId="128" xr:uid="{00000000-0005-0000-0000-00005B030000}"/>
    <cellStyle name="40% - Accent4 2 2" xfId="805" xr:uid="{00000000-0005-0000-0000-00005C030000}"/>
    <cellStyle name="40% - Accent4 20" xfId="382" xr:uid="{00000000-0005-0000-0000-00005D030000}"/>
    <cellStyle name="40% - Accent4 20 2" xfId="1059" xr:uid="{00000000-0005-0000-0000-00005E030000}"/>
    <cellStyle name="40% - Accent4 21" xfId="396" xr:uid="{00000000-0005-0000-0000-00005F030000}"/>
    <cellStyle name="40% - Accent4 21 2" xfId="1073" xr:uid="{00000000-0005-0000-0000-000060030000}"/>
    <cellStyle name="40% - Accent4 22" xfId="410" xr:uid="{00000000-0005-0000-0000-000061030000}"/>
    <cellStyle name="40% - Accent4 22 2" xfId="1087" xr:uid="{00000000-0005-0000-0000-000062030000}"/>
    <cellStyle name="40% - Accent4 23" xfId="424" xr:uid="{00000000-0005-0000-0000-000063030000}"/>
    <cellStyle name="40% - Accent4 23 2" xfId="1101" xr:uid="{00000000-0005-0000-0000-000064030000}"/>
    <cellStyle name="40% - Accent4 24" xfId="438" xr:uid="{00000000-0005-0000-0000-000065030000}"/>
    <cellStyle name="40% - Accent4 24 2" xfId="1115" xr:uid="{00000000-0005-0000-0000-000066030000}"/>
    <cellStyle name="40% - Accent4 25" xfId="452" xr:uid="{00000000-0005-0000-0000-000067030000}"/>
    <cellStyle name="40% - Accent4 25 2" xfId="1129" xr:uid="{00000000-0005-0000-0000-000068030000}"/>
    <cellStyle name="40% - Accent4 26" xfId="466" xr:uid="{00000000-0005-0000-0000-000069030000}"/>
    <cellStyle name="40% - Accent4 26 2" xfId="1143" xr:uid="{00000000-0005-0000-0000-00006A030000}"/>
    <cellStyle name="40% - Accent4 27" xfId="480" xr:uid="{00000000-0005-0000-0000-00006B030000}"/>
    <cellStyle name="40% - Accent4 27 2" xfId="1157" xr:uid="{00000000-0005-0000-0000-00006C030000}"/>
    <cellStyle name="40% - Accent4 28" xfId="495" xr:uid="{00000000-0005-0000-0000-00006D030000}"/>
    <cellStyle name="40% - Accent4 28 2" xfId="1172" xr:uid="{00000000-0005-0000-0000-00006E030000}"/>
    <cellStyle name="40% - Accent4 29" xfId="509" xr:uid="{00000000-0005-0000-0000-00006F030000}"/>
    <cellStyle name="40% - Accent4 29 2" xfId="1186" xr:uid="{00000000-0005-0000-0000-000070030000}"/>
    <cellStyle name="40% - Accent4 3" xfId="142" xr:uid="{00000000-0005-0000-0000-000071030000}"/>
    <cellStyle name="40% - Accent4 3 2" xfId="819" xr:uid="{00000000-0005-0000-0000-000072030000}"/>
    <cellStyle name="40% - Accent4 30" xfId="523" xr:uid="{00000000-0005-0000-0000-000073030000}"/>
    <cellStyle name="40% - Accent4 30 2" xfId="1200" xr:uid="{00000000-0005-0000-0000-000074030000}"/>
    <cellStyle name="40% - Accent4 31" xfId="537" xr:uid="{00000000-0005-0000-0000-000075030000}"/>
    <cellStyle name="40% - Accent4 31 2" xfId="1214" xr:uid="{00000000-0005-0000-0000-000076030000}"/>
    <cellStyle name="40% - Accent4 32" xfId="551" xr:uid="{00000000-0005-0000-0000-000077030000}"/>
    <cellStyle name="40% - Accent4 32 2" xfId="1228" xr:uid="{00000000-0005-0000-0000-000078030000}"/>
    <cellStyle name="40% - Accent4 33" xfId="565" xr:uid="{00000000-0005-0000-0000-000079030000}"/>
    <cellStyle name="40% - Accent4 33 2" xfId="1242" xr:uid="{00000000-0005-0000-0000-00007A030000}"/>
    <cellStyle name="40% - Accent4 34" xfId="579" xr:uid="{00000000-0005-0000-0000-00007B030000}"/>
    <cellStyle name="40% - Accent4 34 2" xfId="1256" xr:uid="{00000000-0005-0000-0000-00007C030000}"/>
    <cellStyle name="40% - Accent4 35" xfId="593" xr:uid="{00000000-0005-0000-0000-00007D030000}"/>
    <cellStyle name="40% - Accent4 35 2" xfId="1270" xr:uid="{00000000-0005-0000-0000-00007E030000}"/>
    <cellStyle name="40% - Accent4 36" xfId="607" xr:uid="{00000000-0005-0000-0000-00007F030000}"/>
    <cellStyle name="40% - Accent4 36 2" xfId="1284" xr:uid="{00000000-0005-0000-0000-000080030000}"/>
    <cellStyle name="40% - Accent4 37" xfId="621" xr:uid="{00000000-0005-0000-0000-000081030000}"/>
    <cellStyle name="40% - Accent4 37 2" xfId="1298" xr:uid="{00000000-0005-0000-0000-000082030000}"/>
    <cellStyle name="40% - Accent4 38" xfId="636" xr:uid="{00000000-0005-0000-0000-000083030000}"/>
    <cellStyle name="40% - Accent4 38 2" xfId="1313" xr:uid="{00000000-0005-0000-0000-000084030000}"/>
    <cellStyle name="40% - Accent4 39" xfId="650" xr:uid="{00000000-0005-0000-0000-000085030000}"/>
    <cellStyle name="40% - Accent4 39 2" xfId="1327" xr:uid="{00000000-0005-0000-0000-000086030000}"/>
    <cellStyle name="40% - Accent4 4" xfId="156" xr:uid="{00000000-0005-0000-0000-000087030000}"/>
    <cellStyle name="40% - Accent4 4 2" xfId="833" xr:uid="{00000000-0005-0000-0000-000088030000}"/>
    <cellStyle name="40% - Accent4 40" xfId="664" xr:uid="{00000000-0005-0000-0000-000089030000}"/>
    <cellStyle name="40% - Accent4 40 2" xfId="1341" xr:uid="{00000000-0005-0000-0000-00008A030000}"/>
    <cellStyle name="40% - Accent4 41" xfId="678" xr:uid="{00000000-0005-0000-0000-00008B030000}"/>
    <cellStyle name="40% - Accent4 41 2" xfId="1355" xr:uid="{00000000-0005-0000-0000-00008C030000}"/>
    <cellStyle name="40% - Accent4 42" xfId="692" xr:uid="{00000000-0005-0000-0000-00008D030000}"/>
    <cellStyle name="40% - Accent4 42 2" xfId="1369" xr:uid="{00000000-0005-0000-0000-00008E030000}"/>
    <cellStyle name="40% - Accent4 43" xfId="706" xr:uid="{00000000-0005-0000-0000-00008F030000}"/>
    <cellStyle name="40% - Accent4 43 2" xfId="1385" xr:uid="{00000000-0005-0000-0000-000090030000}"/>
    <cellStyle name="40% - Accent4 44" xfId="720" xr:uid="{00000000-0005-0000-0000-000091030000}"/>
    <cellStyle name="40% - Accent4 44 2" xfId="1402" xr:uid="{00000000-0005-0000-0000-000092030000}"/>
    <cellStyle name="40% - Accent4 45" xfId="736" xr:uid="{00000000-0005-0000-0000-000093030000}"/>
    <cellStyle name="40% - Accent4 45 2" xfId="1420" xr:uid="{00000000-0005-0000-0000-000094030000}"/>
    <cellStyle name="40% - Accent4 46" xfId="1435" xr:uid="{00000000-0005-0000-0000-000095030000}"/>
    <cellStyle name="40% - Accent4 47" xfId="1465" xr:uid="{00000000-0005-0000-0000-000096030000}"/>
    <cellStyle name="40% - Accent4 48" xfId="1480" xr:uid="{00000000-0005-0000-0000-000097030000}"/>
    <cellStyle name="40% - Accent4 49" xfId="753" xr:uid="{00000000-0005-0000-0000-000098030000}"/>
    <cellStyle name="40% - Accent4 5" xfId="170" xr:uid="{00000000-0005-0000-0000-000099030000}"/>
    <cellStyle name="40% - Accent4 5 2" xfId="847" xr:uid="{00000000-0005-0000-0000-00009A030000}"/>
    <cellStyle name="40% - Accent4 50" xfId="1502" xr:uid="{43717DD9-DE06-401E-BD0A-C5C7AD84BDBE}"/>
    <cellStyle name="40% - Accent4 6" xfId="184" xr:uid="{00000000-0005-0000-0000-00009B030000}"/>
    <cellStyle name="40% - Accent4 6 2" xfId="861" xr:uid="{00000000-0005-0000-0000-00009C030000}"/>
    <cellStyle name="40% - Accent4 7" xfId="198" xr:uid="{00000000-0005-0000-0000-00009D030000}"/>
    <cellStyle name="40% - Accent4 7 2" xfId="875" xr:uid="{00000000-0005-0000-0000-00009E030000}"/>
    <cellStyle name="40% - Accent4 8" xfId="212" xr:uid="{00000000-0005-0000-0000-00009F030000}"/>
    <cellStyle name="40% - Accent4 8 2" xfId="889" xr:uid="{00000000-0005-0000-0000-0000A0030000}"/>
    <cellStyle name="40% - Accent4 9" xfId="226" xr:uid="{00000000-0005-0000-0000-0000A1030000}"/>
    <cellStyle name="40% - Accent4 9 2" xfId="903" xr:uid="{00000000-0005-0000-0000-0000A2030000}"/>
    <cellStyle name="40% - Accent5" xfId="12" builtinId="47" customBuiltin="1"/>
    <cellStyle name="40% - Accent5 10" xfId="242" xr:uid="{00000000-0005-0000-0000-0000A4030000}"/>
    <cellStyle name="40% - Accent5 10 2" xfId="919" xr:uid="{00000000-0005-0000-0000-0000A5030000}"/>
    <cellStyle name="40% - Accent5 11" xfId="256" xr:uid="{00000000-0005-0000-0000-0000A6030000}"/>
    <cellStyle name="40% - Accent5 11 2" xfId="933" xr:uid="{00000000-0005-0000-0000-0000A7030000}"/>
    <cellStyle name="40% - Accent5 12" xfId="270" xr:uid="{00000000-0005-0000-0000-0000A8030000}"/>
    <cellStyle name="40% - Accent5 12 2" xfId="947" xr:uid="{00000000-0005-0000-0000-0000A9030000}"/>
    <cellStyle name="40% - Accent5 13" xfId="284" xr:uid="{00000000-0005-0000-0000-0000AA030000}"/>
    <cellStyle name="40% - Accent5 13 2" xfId="961" xr:uid="{00000000-0005-0000-0000-0000AB030000}"/>
    <cellStyle name="40% - Accent5 14" xfId="298" xr:uid="{00000000-0005-0000-0000-0000AC030000}"/>
    <cellStyle name="40% - Accent5 14 2" xfId="975" xr:uid="{00000000-0005-0000-0000-0000AD030000}"/>
    <cellStyle name="40% - Accent5 15" xfId="312" xr:uid="{00000000-0005-0000-0000-0000AE030000}"/>
    <cellStyle name="40% - Accent5 15 2" xfId="989" xr:uid="{00000000-0005-0000-0000-0000AF030000}"/>
    <cellStyle name="40% - Accent5 16" xfId="326" xr:uid="{00000000-0005-0000-0000-0000B0030000}"/>
    <cellStyle name="40% - Accent5 16 2" xfId="1003" xr:uid="{00000000-0005-0000-0000-0000B1030000}"/>
    <cellStyle name="40% - Accent5 17" xfId="340" xr:uid="{00000000-0005-0000-0000-0000B2030000}"/>
    <cellStyle name="40% - Accent5 17 2" xfId="1017" xr:uid="{00000000-0005-0000-0000-0000B3030000}"/>
    <cellStyle name="40% - Accent5 18" xfId="354" xr:uid="{00000000-0005-0000-0000-0000B4030000}"/>
    <cellStyle name="40% - Accent5 18 2" xfId="1031" xr:uid="{00000000-0005-0000-0000-0000B5030000}"/>
    <cellStyle name="40% - Accent5 19" xfId="369" xr:uid="{00000000-0005-0000-0000-0000B6030000}"/>
    <cellStyle name="40% - Accent5 19 2" xfId="1046" xr:uid="{00000000-0005-0000-0000-0000B7030000}"/>
    <cellStyle name="40% - Accent5 2" xfId="130" xr:uid="{00000000-0005-0000-0000-0000B8030000}"/>
    <cellStyle name="40% - Accent5 2 2" xfId="807" xr:uid="{00000000-0005-0000-0000-0000B9030000}"/>
    <cellStyle name="40% - Accent5 20" xfId="384" xr:uid="{00000000-0005-0000-0000-0000BA030000}"/>
    <cellStyle name="40% - Accent5 20 2" xfId="1061" xr:uid="{00000000-0005-0000-0000-0000BB030000}"/>
    <cellStyle name="40% - Accent5 21" xfId="398" xr:uid="{00000000-0005-0000-0000-0000BC030000}"/>
    <cellStyle name="40% - Accent5 21 2" xfId="1075" xr:uid="{00000000-0005-0000-0000-0000BD030000}"/>
    <cellStyle name="40% - Accent5 22" xfId="412" xr:uid="{00000000-0005-0000-0000-0000BE030000}"/>
    <cellStyle name="40% - Accent5 22 2" xfId="1089" xr:uid="{00000000-0005-0000-0000-0000BF030000}"/>
    <cellStyle name="40% - Accent5 23" xfId="426" xr:uid="{00000000-0005-0000-0000-0000C0030000}"/>
    <cellStyle name="40% - Accent5 23 2" xfId="1103" xr:uid="{00000000-0005-0000-0000-0000C1030000}"/>
    <cellStyle name="40% - Accent5 24" xfId="440" xr:uid="{00000000-0005-0000-0000-0000C2030000}"/>
    <cellStyle name="40% - Accent5 24 2" xfId="1117" xr:uid="{00000000-0005-0000-0000-0000C3030000}"/>
    <cellStyle name="40% - Accent5 25" xfId="454" xr:uid="{00000000-0005-0000-0000-0000C4030000}"/>
    <cellStyle name="40% - Accent5 25 2" xfId="1131" xr:uid="{00000000-0005-0000-0000-0000C5030000}"/>
    <cellStyle name="40% - Accent5 26" xfId="468" xr:uid="{00000000-0005-0000-0000-0000C6030000}"/>
    <cellStyle name="40% - Accent5 26 2" xfId="1145" xr:uid="{00000000-0005-0000-0000-0000C7030000}"/>
    <cellStyle name="40% - Accent5 27" xfId="482" xr:uid="{00000000-0005-0000-0000-0000C8030000}"/>
    <cellStyle name="40% - Accent5 27 2" xfId="1159" xr:uid="{00000000-0005-0000-0000-0000C9030000}"/>
    <cellStyle name="40% - Accent5 28" xfId="497" xr:uid="{00000000-0005-0000-0000-0000CA030000}"/>
    <cellStyle name="40% - Accent5 28 2" xfId="1174" xr:uid="{00000000-0005-0000-0000-0000CB030000}"/>
    <cellStyle name="40% - Accent5 29" xfId="511" xr:uid="{00000000-0005-0000-0000-0000CC030000}"/>
    <cellStyle name="40% - Accent5 29 2" xfId="1188" xr:uid="{00000000-0005-0000-0000-0000CD030000}"/>
    <cellStyle name="40% - Accent5 3" xfId="144" xr:uid="{00000000-0005-0000-0000-0000CE030000}"/>
    <cellStyle name="40% - Accent5 3 2" xfId="821" xr:uid="{00000000-0005-0000-0000-0000CF030000}"/>
    <cellStyle name="40% - Accent5 30" xfId="525" xr:uid="{00000000-0005-0000-0000-0000D0030000}"/>
    <cellStyle name="40% - Accent5 30 2" xfId="1202" xr:uid="{00000000-0005-0000-0000-0000D1030000}"/>
    <cellStyle name="40% - Accent5 31" xfId="539" xr:uid="{00000000-0005-0000-0000-0000D2030000}"/>
    <cellStyle name="40% - Accent5 31 2" xfId="1216" xr:uid="{00000000-0005-0000-0000-0000D3030000}"/>
    <cellStyle name="40% - Accent5 32" xfId="553" xr:uid="{00000000-0005-0000-0000-0000D4030000}"/>
    <cellStyle name="40% - Accent5 32 2" xfId="1230" xr:uid="{00000000-0005-0000-0000-0000D5030000}"/>
    <cellStyle name="40% - Accent5 33" xfId="567" xr:uid="{00000000-0005-0000-0000-0000D6030000}"/>
    <cellStyle name="40% - Accent5 33 2" xfId="1244" xr:uid="{00000000-0005-0000-0000-0000D7030000}"/>
    <cellStyle name="40% - Accent5 34" xfId="581" xr:uid="{00000000-0005-0000-0000-0000D8030000}"/>
    <cellStyle name="40% - Accent5 34 2" xfId="1258" xr:uid="{00000000-0005-0000-0000-0000D9030000}"/>
    <cellStyle name="40% - Accent5 35" xfId="595" xr:uid="{00000000-0005-0000-0000-0000DA030000}"/>
    <cellStyle name="40% - Accent5 35 2" xfId="1272" xr:uid="{00000000-0005-0000-0000-0000DB030000}"/>
    <cellStyle name="40% - Accent5 36" xfId="609" xr:uid="{00000000-0005-0000-0000-0000DC030000}"/>
    <cellStyle name="40% - Accent5 36 2" xfId="1286" xr:uid="{00000000-0005-0000-0000-0000DD030000}"/>
    <cellStyle name="40% - Accent5 37" xfId="623" xr:uid="{00000000-0005-0000-0000-0000DE030000}"/>
    <cellStyle name="40% - Accent5 37 2" xfId="1300" xr:uid="{00000000-0005-0000-0000-0000DF030000}"/>
    <cellStyle name="40% - Accent5 38" xfId="638" xr:uid="{00000000-0005-0000-0000-0000E0030000}"/>
    <cellStyle name="40% - Accent5 38 2" xfId="1315" xr:uid="{00000000-0005-0000-0000-0000E1030000}"/>
    <cellStyle name="40% - Accent5 39" xfId="652" xr:uid="{00000000-0005-0000-0000-0000E2030000}"/>
    <cellStyle name="40% - Accent5 39 2" xfId="1329" xr:uid="{00000000-0005-0000-0000-0000E3030000}"/>
    <cellStyle name="40% - Accent5 4" xfId="158" xr:uid="{00000000-0005-0000-0000-0000E4030000}"/>
    <cellStyle name="40% - Accent5 4 2" xfId="835" xr:uid="{00000000-0005-0000-0000-0000E5030000}"/>
    <cellStyle name="40% - Accent5 40" xfId="666" xr:uid="{00000000-0005-0000-0000-0000E6030000}"/>
    <cellStyle name="40% - Accent5 40 2" xfId="1343" xr:uid="{00000000-0005-0000-0000-0000E7030000}"/>
    <cellStyle name="40% - Accent5 41" xfId="680" xr:uid="{00000000-0005-0000-0000-0000E8030000}"/>
    <cellStyle name="40% - Accent5 41 2" xfId="1357" xr:uid="{00000000-0005-0000-0000-0000E9030000}"/>
    <cellStyle name="40% - Accent5 42" xfId="694" xr:uid="{00000000-0005-0000-0000-0000EA030000}"/>
    <cellStyle name="40% - Accent5 42 2" xfId="1371" xr:uid="{00000000-0005-0000-0000-0000EB030000}"/>
    <cellStyle name="40% - Accent5 43" xfId="708" xr:uid="{00000000-0005-0000-0000-0000EC030000}"/>
    <cellStyle name="40% - Accent5 43 2" xfId="1387" xr:uid="{00000000-0005-0000-0000-0000ED030000}"/>
    <cellStyle name="40% - Accent5 44" xfId="722" xr:uid="{00000000-0005-0000-0000-0000EE030000}"/>
    <cellStyle name="40% - Accent5 44 2" xfId="1404" xr:uid="{00000000-0005-0000-0000-0000EF030000}"/>
    <cellStyle name="40% - Accent5 45" xfId="738" xr:uid="{00000000-0005-0000-0000-0000F0030000}"/>
    <cellStyle name="40% - Accent5 45 2" xfId="1422" xr:uid="{00000000-0005-0000-0000-0000F1030000}"/>
    <cellStyle name="40% - Accent5 46" xfId="1437" xr:uid="{00000000-0005-0000-0000-0000F2030000}"/>
    <cellStyle name="40% - Accent5 47" xfId="1467" xr:uid="{00000000-0005-0000-0000-0000F3030000}"/>
    <cellStyle name="40% - Accent5 48" xfId="1482" xr:uid="{00000000-0005-0000-0000-0000F4030000}"/>
    <cellStyle name="40% - Accent5 49" xfId="754" xr:uid="{00000000-0005-0000-0000-0000F5030000}"/>
    <cellStyle name="40% - Accent5 5" xfId="172" xr:uid="{00000000-0005-0000-0000-0000F6030000}"/>
    <cellStyle name="40% - Accent5 5 2" xfId="849" xr:uid="{00000000-0005-0000-0000-0000F7030000}"/>
    <cellStyle name="40% - Accent5 50" xfId="1505" xr:uid="{2F469452-CFC9-4EA8-8D01-F5C5D02436E2}"/>
    <cellStyle name="40% - Accent5 6" xfId="186" xr:uid="{00000000-0005-0000-0000-0000F8030000}"/>
    <cellStyle name="40% - Accent5 6 2" xfId="863" xr:uid="{00000000-0005-0000-0000-0000F9030000}"/>
    <cellStyle name="40% - Accent5 7" xfId="200" xr:uid="{00000000-0005-0000-0000-0000FA030000}"/>
    <cellStyle name="40% - Accent5 7 2" xfId="877" xr:uid="{00000000-0005-0000-0000-0000FB030000}"/>
    <cellStyle name="40% - Accent5 8" xfId="214" xr:uid="{00000000-0005-0000-0000-0000FC030000}"/>
    <cellStyle name="40% - Accent5 8 2" xfId="891" xr:uid="{00000000-0005-0000-0000-0000FD030000}"/>
    <cellStyle name="40% - Accent5 9" xfId="228" xr:uid="{00000000-0005-0000-0000-0000FE030000}"/>
    <cellStyle name="40% - Accent5 9 2" xfId="905" xr:uid="{00000000-0005-0000-0000-0000FF030000}"/>
    <cellStyle name="40% - Accent6" xfId="13" builtinId="51" customBuiltin="1"/>
    <cellStyle name="40% - Accent6 10" xfId="244" xr:uid="{00000000-0005-0000-0000-000001040000}"/>
    <cellStyle name="40% - Accent6 10 2" xfId="921" xr:uid="{00000000-0005-0000-0000-000002040000}"/>
    <cellStyle name="40% - Accent6 11" xfId="258" xr:uid="{00000000-0005-0000-0000-000003040000}"/>
    <cellStyle name="40% - Accent6 11 2" xfId="935" xr:uid="{00000000-0005-0000-0000-000004040000}"/>
    <cellStyle name="40% - Accent6 12" xfId="272" xr:uid="{00000000-0005-0000-0000-000005040000}"/>
    <cellStyle name="40% - Accent6 12 2" xfId="949" xr:uid="{00000000-0005-0000-0000-000006040000}"/>
    <cellStyle name="40% - Accent6 13" xfId="286" xr:uid="{00000000-0005-0000-0000-000007040000}"/>
    <cellStyle name="40% - Accent6 13 2" xfId="963" xr:uid="{00000000-0005-0000-0000-000008040000}"/>
    <cellStyle name="40% - Accent6 14" xfId="300" xr:uid="{00000000-0005-0000-0000-000009040000}"/>
    <cellStyle name="40% - Accent6 14 2" xfId="977" xr:uid="{00000000-0005-0000-0000-00000A040000}"/>
    <cellStyle name="40% - Accent6 15" xfId="314" xr:uid="{00000000-0005-0000-0000-00000B040000}"/>
    <cellStyle name="40% - Accent6 15 2" xfId="991" xr:uid="{00000000-0005-0000-0000-00000C040000}"/>
    <cellStyle name="40% - Accent6 16" xfId="328" xr:uid="{00000000-0005-0000-0000-00000D040000}"/>
    <cellStyle name="40% - Accent6 16 2" xfId="1005" xr:uid="{00000000-0005-0000-0000-00000E040000}"/>
    <cellStyle name="40% - Accent6 17" xfId="342" xr:uid="{00000000-0005-0000-0000-00000F040000}"/>
    <cellStyle name="40% - Accent6 17 2" xfId="1019" xr:uid="{00000000-0005-0000-0000-000010040000}"/>
    <cellStyle name="40% - Accent6 18" xfId="356" xr:uid="{00000000-0005-0000-0000-000011040000}"/>
    <cellStyle name="40% - Accent6 18 2" xfId="1033" xr:uid="{00000000-0005-0000-0000-000012040000}"/>
    <cellStyle name="40% - Accent6 19" xfId="371" xr:uid="{00000000-0005-0000-0000-000013040000}"/>
    <cellStyle name="40% - Accent6 19 2" xfId="1048" xr:uid="{00000000-0005-0000-0000-000014040000}"/>
    <cellStyle name="40% - Accent6 2" xfId="132" xr:uid="{00000000-0005-0000-0000-000015040000}"/>
    <cellStyle name="40% - Accent6 2 2" xfId="809" xr:uid="{00000000-0005-0000-0000-000016040000}"/>
    <cellStyle name="40% - Accent6 20" xfId="386" xr:uid="{00000000-0005-0000-0000-000017040000}"/>
    <cellStyle name="40% - Accent6 20 2" xfId="1063" xr:uid="{00000000-0005-0000-0000-000018040000}"/>
    <cellStyle name="40% - Accent6 21" xfId="400" xr:uid="{00000000-0005-0000-0000-000019040000}"/>
    <cellStyle name="40% - Accent6 21 2" xfId="1077" xr:uid="{00000000-0005-0000-0000-00001A040000}"/>
    <cellStyle name="40% - Accent6 22" xfId="414" xr:uid="{00000000-0005-0000-0000-00001B040000}"/>
    <cellStyle name="40% - Accent6 22 2" xfId="1091" xr:uid="{00000000-0005-0000-0000-00001C040000}"/>
    <cellStyle name="40% - Accent6 23" xfId="428" xr:uid="{00000000-0005-0000-0000-00001D040000}"/>
    <cellStyle name="40% - Accent6 23 2" xfId="1105" xr:uid="{00000000-0005-0000-0000-00001E040000}"/>
    <cellStyle name="40% - Accent6 24" xfId="442" xr:uid="{00000000-0005-0000-0000-00001F040000}"/>
    <cellStyle name="40% - Accent6 24 2" xfId="1119" xr:uid="{00000000-0005-0000-0000-000020040000}"/>
    <cellStyle name="40% - Accent6 25" xfId="456" xr:uid="{00000000-0005-0000-0000-000021040000}"/>
    <cellStyle name="40% - Accent6 25 2" xfId="1133" xr:uid="{00000000-0005-0000-0000-000022040000}"/>
    <cellStyle name="40% - Accent6 26" xfId="470" xr:uid="{00000000-0005-0000-0000-000023040000}"/>
    <cellStyle name="40% - Accent6 26 2" xfId="1147" xr:uid="{00000000-0005-0000-0000-000024040000}"/>
    <cellStyle name="40% - Accent6 27" xfId="484" xr:uid="{00000000-0005-0000-0000-000025040000}"/>
    <cellStyle name="40% - Accent6 27 2" xfId="1161" xr:uid="{00000000-0005-0000-0000-000026040000}"/>
    <cellStyle name="40% - Accent6 28" xfId="499" xr:uid="{00000000-0005-0000-0000-000027040000}"/>
    <cellStyle name="40% - Accent6 28 2" xfId="1176" xr:uid="{00000000-0005-0000-0000-000028040000}"/>
    <cellStyle name="40% - Accent6 29" xfId="513" xr:uid="{00000000-0005-0000-0000-000029040000}"/>
    <cellStyle name="40% - Accent6 29 2" xfId="1190" xr:uid="{00000000-0005-0000-0000-00002A040000}"/>
    <cellStyle name="40% - Accent6 3" xfId="146" xr:uid="{00000000-0005-0000-0000-00002B040000}"/>
    <cellStyle name="40% - Accent6 3 2" xfId="823" xr:uid="{00000000-0005-0000-0000-00002C040000}"/>
    <cellStyle name="40% - Accent6 30" xfId="527" xr:uid="{00000000-0005-0000-0000-00002D040000}"/>
    <cellStyle name="40% - Accent6 30 2" xfId="1204" xr:uid="{00000000-0005-0000-0000-00002E040000}"/>
    <cellStyle name="40% - Accent6 31" xfId="541" xr:uid="{00000000-0005-0000-0000-00002F040000}"/>
    <cellStyle name="40% - Accent6 31 2" xfId="1218" xr:uid="{00000000-0005-0000-0000-000030040000}"/>
    <cellStyle name="40% - Accent6 32" xfId="555" xr:uid="{00000000-0005-0000-0000-000031040000}"/>
    <cellStyle name="40% - Accent6 32 2" xfId="1232" xr:uid="{00000000-0005-0000-0000-000032040000}"/>
    <cellStyle name="40% - Accent6 33" xfId="569" xr:uid="{00000000-0005-0000-0000-000033040000}"/>
    <cellStyle name="40% - Accent6 33 2" xfId="1246" xr:uid="{00000000-0005-0000-0000-000034040000}"/>
    <cellStyle name="40% - Accent6 34" xfId="583" xr:uid="{00000000-0005-0000-0000-000035040000}"/>
    <cellStyle name="40% - Accent6 34 2" xfId="1260" xr:uid="{00000000-0005-0000-0000-000036040000}"/>
    <cellStyle name="40% - Accent6 35" xfId="597" xr:uid="{00000000-0005-0000-0000-000037040000}"/>
    <cellStyle name="40% - Accent6 35 2" xfId="1274" xr:uid="{00000000-0005-0000-0000-000038040000}"/>
    <cellStyle name="40% - Accent6 36" xfId="611" xr:uid="{00000000-0005-0000-0000-000039040000}"/>
    <cellStyle name="40% - Accent6 36 2" xfId="1288" xr:uid="{00000000-0005-0000-0000-00003A040000}"/>
    <cellStyle name="40% - Accent6 37" xfId="625" xr:uid="{00000000-0005-0000-0000-00003B040000}"/>
    <cellStyle name="40% - Accent6 37 2" xfId="1302" xr:uid="{00000000-0005-0000-0000-00003C040000}"/>
    <cellStyle name="40% - Accent6 38" xfId="640" xr:uid="{00000000-0005-0000-0000-00003D040000}"/>
    <cellStyle name="40% - Accent6 38 2" xfId="1317" xr:uid="{00000000-0005-0000-0000-00003E040000}"/>
    <cellStyle name="40% - Accent6 39" xfId="654" xr:uid="{00000000-0005-0000-0000-00003F040000}"/>
    <cellStyle name="40% - Accent6 39 2" xfId="1331" xr:uid="{00000000-0005-0000-0000-000040040000}"/>
    <cellStyle name="40% - Accent6 4" xfId="160" xr:uid="{00000000-0005-0000-0000-000041040000}"/>
    <cellStyle name="40% - Accent6 4 2" xfId="837" xr:uid="{00000000-0005-0000-0000-000042040000}"/>
    <cellStyle name="40% - Accent6 40" xfId="668" xr:uid="{00000000-0005-0000-0000-000043040000}"/>
    <cellStyle name="40% - Accent6 40 2" xfId="1345" xr:uid="{00000000-0005-0000-0000-000044040000}"/>
    <cellStyle name="40% - Accent6 41" xfId="682" xr:uid="{00000000-0005-0000-0000-000045040000}"/>
    <cellStyle name="40% - Accent6 41 2" xfId="1359" xr:uid="{00000000-0005-0000-0000-000046040000}"/>
    <cellStyle name="40% - Accent6 42" xfId="696" xr:uid="{00000000-0005-0000-0000-000047040000}"/>
    <cellStyle name="40% - Accent6 42 2" xfId="1373" xr:uid="{00000000-0005-0000-0000-000048040000}"/>
    <cellStyle name="40% - Accent6 43" xfId="710" xr:uid="{00000000-0005-0000-0000-000049040000}"/>
    <cellStyle name="40% - Accent6 43 2" xfId="1389" xr:uid="{00000000-0005-0000-0000-00004A040000}"/>
    <cellStyle name="40% - Accent6 44" xfId="724" xr:uid="{00000000-0005-0000-0000-00004B040000}"/>
    <cellStyle name="40% - Accent6 44 2" xfId="1406" xr:uid="{00000000-0005-0000-0000-00004C040000}"/>
    <cellStyle name="40% - Accent6 45" xfId="740" xr:uid="{00000000-0005-0000-0000-00004D040000}"/>
    <cellStyle name="40% - Accent6 45 2" xfId="1424" xr:uid="{00000000-0005-0000-0000-00004E040000}"/>
    <cellStyle name="40% - Accent6 46" xfId="1439" xr:uid="{00000000-0005-0000-0000-00004F040000}"/>
    <cellStyle name="40% - Accent6 47" xfId="1469" xr:uid="{00000000-0005-0000-0000-000050040000}"/>
    <cellStyle name="40% - Accent6 48" xfId="1484" xr:uid="{00000000-0005-0000-0000-000051040000}"/>
    <cellStyle name="40% - Accent6 49" xfId="755" xr:uid="{00000000-0005-0000-0000-000052040000}"/>
    <cellStyle name="40% - Accent6 5" xfId="174" xr:uid="{00000000-0005-0000-0000-000053040000}"/>
    <cellStyle name="40% - Accent6 5 2" xfId="851" xr:uid="{00000000-0005-0000-0000-000054040000}"/>
    <cellStyle name="40% - Accent6 50" xfId="1508" xr:uid="{037FA73E-B854-4F0C-96B5-4D69A7FBBE1B}"/>
    <cellStyle name="40% - Accent6 6" xfId="188" xr:uid="{00000000-0005-0000-0000-000055040000}"/>
    <cellStyle name="40% - Accent6 6 2" xfId="865" xr:uid="{00000000-0005-0000-0000-000056040000}"/>
    <cellStyle name="40% - Accent6 7" xfId="202" xr:uid="{00000000-0005-0000-0000-000057040000}"/>
    <cellStyle name="40% - Accent6 7 2" xfId="879" xr:uid="{00000000-0005-0000-0000-000058040000}"/>
    <cellStyle name="40% - Accent6 8" xfId="216" xr:uid="{00000000-0005-0000-0000-000059040000}"/>
    <cellStyle name="40% - Accent6 8 2" xfId="893" xr:uid="{00000000-0005-0000-0000-00005A040000}"/>
    <cellStyle name="40% - Accent6 9" xfId="230" xr:uid="{00000000-0005-0000-0000-00005B040000}"/>
    <cellStyle name="40% - Accent6 9 2" xfId="907" xr:uid="{00000000-0005-0000-0000-00005C040000}"/>
    <cellStyle name="60% - Accent1" xfId="14" builtinId="32" customBuiltin="1"/>
    <cellStyle name="60% - Accent1 2" xfId="1494" xr:uid="{5531A9F0-053E-41A0-B9AC-112D2CFF71A7}"/>
    <cellStyle name="60% - Accent2" xfId="15" builtinId="36" customBuiltin="1"/>
    <cellStyle name="60% - Accent2 2" xfId="1497" xr:uid="{F60F7157-A44D-4962-817B-397C442577AF}"/>
    <cellStyle name="60% - Accent3" xfId="16" builtinId="40" customBuiltin="1"/>
    <cellStyle name="60% - Accent3 2" xfId="1500" xr:uid="{B13CC7EE-1DF2-4682-9F94-F3E6E60E6700}"/>
    <cellStyle name="60% - Accent4" xfId="17" builtinId="44" customBuiltin="1"/>
    <cellStyle name="60% - Accent4 2" xfId="1503" xr:uid="{8E6503A7-5A93-4DB9-8ECD-00B6BF307D0B}"/>
    <cellStyle name="60% - Accent5" xfId="18" builtinId="48" customBuiltin="1"/>
    <cellStyle name="60% - Accent5 2" xfId="1506" xr:uid="{BE729EB8-FC10-46E4-A7B1-38780F3AE38C}"/>
    <cellStyle name="60% - Accent6" xfId="19" builtinId="52" customBuiltin="1"/>
    <cellStyle name="60% - Accent6 2" xfId="1509" xr:uid="{945F0AD9-DE2B-4756-AF01-11A0466DCDD2}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Bad" xfId="26" builtinId="27" customBuiltin="1"/>
    <cellStyle name="Calculation" xfId="27" builtinId="22" customBuiltin="1"/>
    <cellStyle name="Check Cell" xfId="28" builtinId="23" customBuiltin="1"/>
    <cellStyle name="Comma [0] 21" xfId="29" xr:uid="{00000000-0005-0000-0000-00006C040000}"/>
    <cellStyle name="Comma [0] 21 2" xfId="756" xr:uid="{00000000-0005-0000-0000-00006D040000}"/>
    <cellStyle name="Comma 10" xfId="30" xr:uid="{00000000-0005-0000-0000-00006E040000}"/>
    <cellStyle name="Comma 10 2" xfId="757" xr:uid="{00000000-0005-0000-0000-00006F040000}"/>
    <cellStyle name="Comma 11" xfId="31" xr:uid="{00000000-0005-0000-0000-000070040000}"/>
    <cellStyle name="Comma 11 2" xfId="758" xr:uid="{00000000-0005-0000-0000-000071040000}"/>
    <cellStyle name="Comma 12" xfId="32" xr:uid="{00000000-0005-0000-0000-000072040000}"/>
    <cellStyle name="Comma 12 2" xfId="759" xr:uid="{00000000-0005-0000-0000-000073040000}"/>
    <cellStyle name="Comma 15 2" xfId="33" xr:uid="{00000000-0005-0000-0000-000074040000}"/>
    <cellStyle name="Comma 15 2 2" xfId="34" xr:uid="{00000000-0005-0000-0000-000075040000}"/>
    <cellStyle name="Comma 15 2 2 2" xfId="35" xr:uid="{00000000-0005-0000-0000-000076040000}"/>
    <cellStyle name="Comma 15 2 2 2 2" xfId="36" xr:uid="{00000000-0005-0000-0000-000077040000}"/>
    <cellStyle name="Comma 15 2 2 2 2 2" xfId="37" xr:uid="{00000000-0005-0000-0000-000078040000}"/>
    <cellStyle name="Comma 15 2 2 2 2 2 2" xfId="38" xr:uid="{00000000-0005-0000-0000-000079040000}"/>
    <cellStyle name="Comma 15 2 2 2 2 2 2 2" xfId="765" xr:uid="{00000000-0005-0000-0000-00007A040000}"/>
    <cellStyle name="Comma 15 2 2 2 2 2 3" xfId="764" xr:uid="{00000000-0005-0000-0000-00007B040000}"/>
    <cellStyle name="Comma 15 2 2 2 2 3" xfId="763" xr:uid="{00000000-0005-0000-0000-00007C040000}"/>
    <cellStyle name="Comma 15 2 2 2 3" xfId="762" xr:uid="{00000000-0005-0000-0000-00007D040000}"/>
    <cellStyle name="Comma 15 2 2 3" xfId="761" xr:uid="{00000000-0005-0000-0000-00007E040000}"/>
    <cellStyle name="Comma 15 2 3" xfId="760" xr:uid="{00000000-0005-0000-0000-00007F040000}"/>
    <cellStyle name="Comma 2" xfId="39" xr:uid="{00000000-0005-0000-0000-000080040000}"/>
    <cellStyle name="Comma 2 10" xfId="40" xr:uid="{00000000-0005-0000-0000-000081040000}"/>
    <cellStyle name="Comma 2 10 2" xfId="767" xr:uid="{00000000-0005-0000-0000-000082040000}"/>
    <cellStyle name="Comma 2 2" xfId="766" xr:uid="{00000000-0005-0000-0000-000083040000}"/>
    <cellStyle name="Comma 2 3" xfId="41" xr:uid="{00000000-0005-0000-0000-000084040000}"/>
    <cellStyle name="Comma 2 3 2" xfId="768" xr:uid="{00000000-0005-0000-0000-000085040000}"/>
    <cellStyle name="Comma 3" xfId="42" xr:uid="{00000000-0005-0000-0000-000086040000}"/>
    <cellStyle name="Comma 3 2" xfId="769" xr:uid="{00000000-0005-0000-0000-000087040000}"/>
    <cellStyle name="Comma 4" xfId="43" xr:uid="{00000000-0005-0000-0000-000088040000}"/>
    <cellStyle name="Comma 4 2" xfId="44" xr:uid="{00000000-0005-0000-0000-000089040000}"/>
    <cellStyle name="Comma 4 2 2" xfId="770" xr:uid="{00000000-0005-0000-0000-00008A040000}"/>
    <cellStyle name="Comma 5" xfId="45" xr:uid="{00000000-0005-0000-0000-00008B040000}"/>
    <cellStyle name="Comma 7" xfId="46" xr:uid="{00000000-0005-0000-0000-00008C040000}"/>
    <cellStyle name="Comma 7 2" xfId="771" xr:uid="{00000000-0005-0000-0000-00008D040000}"/>
    <cellStyle name="Excel Built-in Normal" xfId="47" xr:uid="{00000000-0005-0000-0000-00008E040000}"/>
    <cellStyle name="Excel Built-in Normal 2" xfId="48" xr:uid="{00000000-0005-0000-0000-00008F040000}"/>
    <cellStyle name="Explanatory Text" xfId="49" builtinId="53" customBuiltin="1"/>
    <cellStyle name="Good" xfId="50" builtinId="26" customBuiltin="1"/>
    <cellStyle name="Heading 1" xfId="51" builtinId="16" customBuiltin="1"/>
    <cellStyle name="Heading 2" xfId="52" builtinId="17" customBuiltin="1"/>
    <cellStyle name="Heading 3" xfId="53" builtinId="18" customBuiltin="1"/>
    <cellStyle name="Heading 3 2" xfId="54" xr:uid="{00000000-0005-0000-0000-000095040000}"/>
    <cellStyle name="Heading 4" xfId="55" builtinId="19" customBuiltin="1"/>
    <cellStyle name="Input" xfId="56" builtinId="20" customBuiltin="1"/>
    <cellStyle name="Linked Cell" xfId="57" builtinId="24" customBuiltin="1"/>
    <cellStyle name="Neutral" xfId="58" builtinId="28" customBuiltin="1"/>
    <cellStyle name="Neutral 2" xfId="1490" xr:uid="{BC3FC3E7-4763-4F66-8D58-680A59B20EAF}"/>
    <cellStyle name="Normal" xfId="0" builtinId="0"/>
    <cellStyle name="Normal 10" xfId="59" xr:uid="{00000000-0005-0000-0000-00009C040000}"/>
    <cellStyle name="Normal 10 2" xfId="772" xr:uid="{00000000-0005-0000-0000-00009D040000}"/>
    <cellStyle name="Normal 100" xfId="1456" xr:uid="{00000000-0005-0000-0000-00009E040000}"/>
    <cellStyle name="Normal 101" xfId="1470" xr:uid="{00000000-0005-0000-0000-00009F040000}"/>
    <cellStyle name="Normal 102" xfId="1471" xr:uid="{00000000-0005-0000-0000-0000A0040000}"/>
    <cellStyle name="Normal 102 2" xfId="60" xr:uid="{00000000-0005-0000-0000-0000A1040000}"/>
    <cellStyle name="Normal 102 2 2" xfId="61" xr:uid="{00000000-0005-0000-0000-0000A2040000}"/>
    <cellStyle name="Normal 102 2 2 2" xfId="62" xr:uid="{00000000-0005-0000-0000-0000A3040000}"/>
    <cellStyle name="Normal 102 2 2 2 2" xfId="63" xr:uid="{00000000-0005-0000-0000-0000A4040000}"/>
    <cellStyle name="Normal 102 2 2 2 2 2" xfId="64" xr:uid="{00000000-0005-0000-0000-0000A5040000}"/>
    <cellStyle name="Normal 102 2 2 2 2 2 2" xfId="65" xr:uid="{00000000-0005-0000-0000-0000A6040000}"/>
    <cellStyle name="Normal 102 2 2 2 2 2 2 2" xfId="778" xr:uid="{00000000-0005-0000-0000-0000A7040000}"/>
    <cellStyle name="Normal 102 2 2 2 2 2 3" xfId="777" xr:uid="{00000000-0005-0000-0000-0000A8040000}"/>
    <cellStyle name="Normal 102 2 2 2 2 3" xfId="776" xr:uid="{00000000-0005-0000-0000-0000A9040000}"/>
    <cellStyle name="Normal 102 2 2 2 3" xfId="775" xr:uid="{00000000-0005-0000-0000-0000AA040000}"/>
    <cellStyle name="Normal 102 2 2 3" xfId="774" xr:uid="{00000000-0005-0000-0000-0000AB040000}"/>
    <cellStyle name="Normal 102 2 3" xfId="773" xr:uid="{00000000-0005-0000-0000-0000AC040000}"/>
    <cellStyle name="Normal 103" xfId="1485" xr:uid="{00000000-0005-0000-0000-0000AD040000}"/>
    <cellStyle name="Normal 104" xfId="1486" xr:uid="{00000000-0005-0000-0000-0000AE040000}"/>
    <cellStyle name="Normal 105" xfId="1488" xr:uid="{00000000-0005-0000-0000-0000AF040000}"/>
    <cellStyle name="Normal 106" xfId="1489" xr:uid="{CE05AC21-067A-428C-9CB6-B23C4D59F112}"/>
    <cellStyle name="Normal 11" xfId="66" xr:uid="{00000000-0005-0000-0000-0000B0040000}"/>
    <cellStyle name="Normal 11 2" xfId="779" xr:uid="{00000000-0005-0000-0000-0000B1040000}"/>
    <cellStyle name="Normal 12" xfId="67" xr:uid="{00000000-0005-0000-0000-0000B2040000}"/>
    <cellStyle name="Normal 13" xfId="117" xr:uid="{00000000-0005-0000-0000-0000B3040000}"/>
    <cellStyle name="Normal 13 2" xfId="726" xr:uid="{00000000-0005-0000-0000-0000B4040000}"/>
    <cellStyle name="Normal 13 3" xfId="795" xr:uid="{00000000-0005-0000-0000-0000B5040000}"/>
    <cellStyle name="Normal 14" xfId="68" xr:uid="{00000000-0005-0000-0000-0000B6040000}"/>
    <cellStyle name="Normal 15" xfId="119" xr:uid="{00000000-0005-0000-0000-0000B7040000}"/>
    <cellStyle name="Normal 15 2" xfId="796" xr:uid="{00000000-0005-0000-0000-0000B8040000}"/>
    <cellStyle name="Normal 16" xfId="69" xr:uid="{00000000-0005-0000-0000-0000B9040000}"/>
    <cellStyle name="Normal 16 2" xfId="780" xr:uid="{00000000-0005-0000-0000-0000BA040000}"/>
    <cellStyle name="Normal 17" xfId="70" xr:uid="{00000000-0005-0000-0000-0000BB040000}"/>
    <cellStyle name="Normal 18" xfId="71" xr:uid="{00000000-0005-0000-0000-0000BC040000}"/>
    <cellStyle name="Normal 19" xfId="72" xr:uid="{00000000-0005-0000-0000-0000BD040000}"/>
    <cellStyle name="Normal 19 2" xfId="73" xr:uid="{00000000-0005-0000-0000-0000BE040000}"/>
    <cellStyle name="Normal 19 2 2" xfId="781" xr:uid="{00000000-0005-0000-0000-0000BF040000}"/>
    <cellStyle name="Normal 19 3" xfId="74" xr:uid="{00000000-0005-0000-0000-0000C0040000}"/>
    <cellStyle name="Normal 19 3 2" xfId="782" xr:uid="{00000000-0005-0000-0000-0000C1040000}"/>
    <cellStyle name="Normal 19 4" xfId="75" xr:uid="{00000000-0005-0000-0000-0000C2040000}"/>
    <cellStyle name="Normal 19 4 2" xfId="783" xr:uid="{00000000-0005-0000-0000-0000C3040000}"/>
    <cellStyle name="Normal 19 5" xfId="76" xr:uid="{00000000-0005-0000-0000-0000C4040000}"/>
    <cellStyle name="Normal 19 5 2" xfId="784" xr:uid="{00000000-0005-0000-0000-0000C5040000}"/>
    <cellStyle name="Normal 19 6" xfId="77" xr:uid="{00000000-0005-0000-0000-0000C6040000}"/>
    <cellStyle name="Normal 19 6 2" xfId="785" xr:uid="{00000000-0005-0000-0000-0000C7040000}"/>
    <cellStyle name="Normal 2" xfId="78" xr:uid="{00000000-0005-0000-0000-0000C8040000}"/>
    <cellStyle name="Normal 2 10" xfId="79" xr:uid="{00000000-0005-0000-0000-0000C9040000}"/>
    <cellStyle name="Normal 2 2" xfId="80" xr:uid="{00000000-0005-0000-0000-0000CA040000}"/>
    <cellStyle name="Normal 2 2 2" xfId="81" xr:uid="{00000000-0005-0000-0000-0000CB040000}"/>
    <cellStyle name="Normal 2 2 2 2" xfId="82" xr:uid="{00000000-0005-0000-0000-0000CC040000}"/>
    <cellStyle name="Normal 2 29" xfId="83" xr:uid="{00000000-0005-0000-0000-0000CD040000}"/>
    <cellStyle name="Normal 2 3" xfId="84" xr:uid="{00000000-0005-0000-0000-0000CE040000}"/>
    <cellStyle name="Normal 2 4" xfId="1487" xr:uid="{00000000-0005-0000-0000-0000CF040000}"/>
    <cellStyle name="Normal 2 53" xfId="85" xr:uid="{00000000-0005-0000-0000-0000D0040000}"/>
    <cellStyle name="Normal 20" xfId="86" xr:uid="{00000000-0005-0000-0000-0000D1040000}"/>
    <cellStyle name="Normal 21" xfId="87" xr:uid="{00000000-0005-0000-0000-0000D2040000}"/>
    <cellStyle name="Normal 22" xfId="88" xr:uid="{00000000-0005-0000-0000-0000D3040000}"/>
    <cellStyle name="Normal 23" xfId="133" xr:uid="{00000000-0005-0000-0000-0000D4040000}"/>
    <cellStyle name="Normal 23 2" xfId="810" xr:uid="{00000000-0005-0000-0000-0000D5040000}"/>
    <cellStyle name="Normal 24" xfId="147" xr:uid="{00000000-0005-0000-0000-0000D6040000}"/>
    <cellStyle name="Normal 24 2" xfId="824" xr:uid="{00000000-0005-0000-0000-0000D7040000}"/>
    <cellStyle name="Normal 25" xfId="161" xr:uid="{00000000-0005-0000-0000-0000D8040000}"/>
    <cellStyle name="Normal 25 2" xfId="838" xr:uid="{00000000-0005-0000-0000-0000D9040000}"/>
    <cellStyle name="Normal 26" xfId="89" xr:uid="{00000000-0005-0000-0000-0000DA040000}"/>
    <cellStyle name="Normal 27" xfId="90" xr:uid="{00000000-0005-0000-0000-0000DB040000}"/>
    <cellStyle name="Normal 28" xfId="175" xr:uid="{00000000-0005-0000-0000-0000DC040000}"/>
    <cellStyle name="Normal 28 2" xfId="852" xr:uid="{00000000-0005-0000-0000-0000DD040000}"/>
    <cellStyle name="Normal 29" xfId="189" xr:uid="{00000000-0005-0000-0000-0000DE040000}"/>
    <cellStyle name="Normal 29 2" xfId="866" xr:uid="{00000000-0005-0000-0000-0000DF040000}"/>
    <cellStyle name="Normal 3" xfId="91" xr:uid="{00000000-0005-0000-0000-0000E0040000}"/>
    <cellStyle name="Normal 3 10 14" xfId="92" xr:uid="{00000000-0005-0000-0000-0000E1040000}"/>
    <cellStyle name="Normal 3 10 14 2" xfId="787" xr:uid="{00000000-0005-0000-0000-0000E2040000}"/>
    <cellStyle name="Normal 3 2" xfId="93" xr:uid="{00000000-0005-0000-0000-0000E3040000}"/>
    <cellStyle name="Normal 3 2 2" xfId="94" xr:uid="{00000000-0005-0000-0000-0000E4040000}"/>
    <cellStyle name="Normal 3 3" xfId="786" xr:uid="{00000000-0005-0000-0000-0000E5040000}"/>
    <cellStyle name="Normal 3_PLAN PRINT 2 2" xfId="95" xr:uid="{00000000-0005-0000-0000-0000E6040000}"/>
    <cellStyle name="Normal 30" xfId="203" xr:uid="{00000000-0005-0000-0000-0000E7040000}"/>
    <cellStyle name="Normal 30 2" xfId="880" xr:uid="{00000000-0005-0000-0000-0000E8040000}"/>
    <cellStyle name="Normal 31" xfId="96" xr:uid="{00000000-0005-0000-0000-0000E9040000}"/>
    <cellStyle name="Normal 31 2" xfId="788" xr:uid="{00000000-0005-0000-0000-0000EA040000}"/>
    <cellStyle name="Normal 32" xfId="217" xr:uid="{00000000-0005-0000-0000-0000EB040000}"/>
    <cellStyle name="Normal 32 2" xfId="894" xr:uid="{00000000-0005-0000-0000-0000EC040000}"/>
    <cellStyle name="Normal 33" xfId="231" xr:uid="{00000000-0005-0000-0000-0000ED040000}"/>
    <cellStyle name="Normal 33 2" xfId="908" xr:uid="{00000000-0005-0000-0000-0000EE040000}"/>
    <cellStyle name="Normal 34" xfId="245" xr:uid="{00000000-0005-0000-0000-0000EF040000}"/>
    <cellStyle name="Normal 34 2" xfId="922" xr:uid="{00000000-0005-0000-0000-0000F0040000}"/>
    <cellStyle name="Normal 35" xfId="259" xr:uid="{00000000-0005-0000-0000-0000F1040000}"/>
    <cellStyle name="Normal 35 2" xfId="936" xr:uid="{00000000-0005-0000-0000-0000F2040000}"/>
    <cellStyle name="Normal 36" xfId="273" xr:uid="{00000000-0005-0000-0000-0000F3040000}"/>
    <cellStyle name="Normal 36 2" xfId="950" xr:uid="{00000000-0005-0000-0000-0000F4040000}"/>
    <cellStyle name="Normal 37" xfId="287" xr:uid="{00000000-0005-0000-0000-0000F5040000}"/>
    <cellStyle name="Normal 37 2" xfId="964" xr:uid="{00000000-0005-0000-0000-0000F6040000}"/>
    <cellStyle name="Normal 38" xfId="301" xr:uid="{00000000-0005-0000-0000-0000F7040000}"/>
    <cellStyle name="Normal 38 2" xfId="978" xr:uid="{00000000-0005-0000-0000-0000F8040000}"/>
    <cellStyle name="Normal 39" xfId="315" xr:uid="{00000000-0005-0000-0000-0000F9040000}"/>
    <cellStyle name="Normal 39 2" xfId="992" xr:uid="{00000000-0005-0000-0000-0000FA040000}"/>
    <cellStyle name="Normal 4" xfId="97" xr:uid="{00000000-0005-0000-0000-0000FB040000}"/>
    <cellStyle name="Normal 4 2" xfId="98" xr:uid="{00000000-0005-0000-0000-0000FC040000}"/>
    <cellStyle name="Normal 40" xfId="329" xr:uid="{00000000-0005-0000-0000-0000FD040000}"/>
    <cellStyle name="Normal 40 2" xfId="1006" xr:uid="{00000000-0005-0000-0000-0000FE040000}"/>
    <cellStyle name="Normal 41" xfId="343" xr:uid="{00000000-0005-0000-0000-0000FF040000}"/>
    <cellStyle name="Normal 41 2" xfId="1020" xr:uid="{00000000-0005-0000-0000-000000050000}"/>
    <cellStyle name="Normal 42" xfId="357" xr:uid="{00000000-0005-0000-0000-000001050000}"/>
    <cellStyle name="Normal 42 2" xfId="1034" xr:uid="{00000000-0005-0000-0000-000002050000}"/>
    <cellStyle name="Normal 43" xfId="358" xr:uid="{00000000-0005-0000-0000-000003050000}"/>
    <cellStyle name="Normal 43 2" xfId="1035" xr:uid="{00000000-0005-0000-0000-000004050000}"/>
    <cellStyle name="Normal 44" xfId="372" xr:uid="{00000000-0005-0000-0000-000005050000}"/>
    <cellStyle name="Normal 44 2" xfId="1049" xr:uid="{00000000-0005-0000-0000-000006050000}"/>
    <cellStyle name="Normal 45" xfId="373" xr:uid="{00000000-0005-0000-0000-000007050000}"/>
    <cellStyle name="Normal 45 2" xfId="1050" xr:uid="{00000000-0005-0000-0000-000008050000}"/>
    <cellStyle name="Normal 46" xfId="387" xr:uid="{00000000-0005-0000-0000-000009050000}"/>
    <cellStyle name="Normal 46 2" xfId="1064" xr:uid="{00000000-0005-0000-0000-00000A050000}"/>
    <cellStyle name="Normal 47" xfId="401" xr:uid="{00000000-0005-0000-0000-00000B050000}"/>
    <cellStyle name="Normal 47 2" xfId="1078" xr:uid="{00000000-0005-0000-0000-00000C050000}"/>
    <cellStyle name="Normal 48" xfId="415" xr:uid="{00000000-0005-0000-0000-00000D050000}"/>
    <cellStyle name="Normal 48 2" xfId="1092" xr:uid="{00000000-0005-0000-0000-00000E050000}"/>
    <cellStyle name="Normal 49" xfId="429" xr:uid="{00000000-0005-0000-0000-00000F050000}"/>
    <cellStyle name="Normal 49 2" xfId="1106" xr:uid="{00000000-0005-0000-0000-000010050000}"/>
    <cellStyle name="Normal 5" xfId="99" xr:uid="{00000000-0005-0000-0000-000011050000}"/>
    <cellStyle name="Normal 5 2" xfId="100" xr:uid="{00000000-0005-0000-0000-000012050000}"/>
    <cellStyle name="Normal 5 3" xfId="101" xr:uid="{00000000-0005-0000-0000-000013050000}"/>
    <cellStyle name="Normal 50" xfId="443" xr:uid="{00000000-0005-0000-0000-000014050000}"/>
    <cellStyle name="Normal 50 2" xfId="1120" xr:uid="{00000000-0005-0000-0000-000015050000}"/>
    <cellStyle name="Normal 51" xfId="457" xr:uid="{00000000-0005-0000-0000-000016050000}"/>
    <cellStyle name="Normal 51 2" xfId="1134" xr:uid="{00000000-0005-0000-0000-000017050000}"/>
    <cellStyle name="Normal 52" xfId="471" xr:uid="{00000000-0005-0000-0000-000018050000}"/>
    <cellStyle name="Normal 52 2" xfId="1148" xr:uid="{00000000-0005-0000-0000-000019050000}"/>
    <cellStyle name="Normal 53" xfId="485" xr:uid="{00000000-0005-0000-0000-00001A050000}"/>
    <cellStyle name="Normal 53 2" xfId="1162" xr:uid="{00000000-0005-0000-0000-00001B050000}"/>
    <cellStyle name="Normal 54" xfId="486" xr:uid="{00000000-0005-0000-0000-00001C050000}"/>
    <cellStyle name="Normal 54 2" xfId="1163" xr:uid="{00000000-0005-0000-0000-00001D050000}"/>
    <cellStyle name="Normal 55" xfId="500" xr:uid="{00000000-0005-0000-0000-00001E050000}"/>
    <cellStyle name="Normal 55 2" xfId="1177" xr:uid="{00000000-0005-0000-0000-00001F050000}"/>
    <cellStyle name="Normal 56" xfId="514" xr:uid="{00000000-0005-0000-0000-000020050000}"/>
    <cellStyle name="Normal 56 2" xfId="1191" xr:uid="{00000000-0005-0000-0000-000021050000}"/>
    <cellStyle name="Normal 57" xfId="528" xr:uid="{00000000-0005-0000-0000-000022050000}"/>
    <cellStyle name="Normal 57 2" xfId="1205" xr:uid="{00000000-0005-0000-0000-000023050000}"/>
    <cellStyle name="Normal 58" xfId="542" xr:uid="{00000000-0005-0000-0000-000024050000}"/>
    <cellStyle name="Normal 58 2" xfId="1219" xr:uid="{00000000-0005-0000-0000-000025050000}"/>
    <cellStyle name="Normal 59" xfId="556" xr:uid="{00000000-0005-0000-0000-000026050000}"/>
    <cellStyle name="Normal 59 2" xfId="1233" xr:uid="{00000000-0005-0000-0000-000027050000}"/>
    <cellStyle name="Normal 6" xfId="102" xr:uid="{00000000-0005-0000-0000-000028050000}"/>
    <cellStyle name="Normal 6 2" xfId="103" xr:uid="{00000000-0005-0000-0000-000029050000}"/>
    <cellStyle name="Normal 6 2 2" xfId="790" xr:uid="{00000000-0005-0000-0000-00002A050000}"/>
    <cellStyle name="Normal 6 3" xfId="789" xr:uid="{00000000-0005-0000-0000-00002B050000}"/>
    <cellStyle name="Normal 60" xfId="570" xr:uid="{00000000-0005-0000-0000-00002C050000}"/>
    <cellStyle name="Normal 60 2" xfId="1247" xr:uid="{00000000-0005-0000-0000-00002D050000}"/>
    <cellStyle name="Normal 61" xfId="584" xr:uid="{00000000-0005-0000-0000-00002E050000}"/>
    <cellStyle name="Normal 61 2" xfId="1261" xr:uid="{00000000-0005-0000-0000-00002F050000}"/>
    <cellStyle name="Normal 62" xfId="598" xr:uid="{00000000-0005-0000-0000-000030050000}"/>
    <cellStyle name="Normal 62 2" xfId="1275" xr:uid="{00000000-0005-0000-0000-000031050000}"/>
    <cellStyle name="Normal 63" xfId="612" xr:uid="{00000000-0005-0000-0000-000032050000}"/>
    <cellStyle name="Normal 63 2" xfId="1289" xr:uid="{00000000-0005-0000-0000-000033050000}"/>
    <cellStyle name="Normal 64" xfId="626" xr:uid="{00000000-0005-0000-0000-000034050000}"/>
    <cellStyle name="Normal 64 2" xfId="1303" xr:uid="{00000000-0005-0000-0000-000035050000}"/>
    <cellStyle name="Normal 65" xfId="627" xr:uid="{00000000-0005-0000-0000-000036050000}"/>
    <cellStyle name="Normal 65 2" xfId="1304" xr:uid="{00000000-0005-0000-0000-000037050000}"/>
    <cellStyle name="Normal 66" xfId="641" xr:uid="{00000000-0005-0000-0000-000038050000}"/>
    <cellStyle name="Normal 66 2" xfId="1318" xr:uid="{00000000-0005-0000-0000-000039050000}"/>
    <cellStyle name="Normal 67" xfId="655" xr:uid="{00000000-0005-0000-0000-00003A050000}"/>
    <cellStyle name="Normal 67 2" xfId="1332" xr:uid="{00000000-0005-0000-0000-00003B050000}"/>
    <cellStyle name="Normal 68" xfId="669" xr:uid="{00000000-0005-0000-0000-00003C050000}"/>
    <cellStyle name="Normal 68 2" xfId="1346" xr:uid="{00000000-0005-0000-0000-00003D050000}"/>
    <cellStyle name="Normal 69" xfId="683" xr:uid="{00000000-0005-0000-0000-00003E050000}"/>
    <cellStyle name="Normal 69 2" xfId="1360" xr:uid="{00000000-0005-0000-0000-00003F050000}"/>
    <cellStyle name="Normal 7" xfId="104" xr:uid="{00000000-0005-0000-0000-000040050000}"/>
    <cellStyle name="Normal 70" xfId="697" xr:uid="{00000000-0005-0000-0000-000041050000}"/>
    <cellStyle name="Normal 70 2" xfId="1374" xr:uid="{00000000-0005-0000-0000-000042050000}"/>
    <cellStyle name="Normal 71" xfId="711" xr:uid="{00000000-0005-0000-0000-000043050000}"/>
    <cellStyle name="Normal 71 2" xfId="1375" xr:uid="{00000000-0005-0000-0000-000044050000}"/>
    <cellStyle name="Normal 72" xfId="725" xr:uid="{00000000-0005-0000-0000-000045050000}"/>
    <cellStyle name="Normal 72 2" xfId="1376" xr:uid="{00000000-0005-0000-0000-000046050000}"/>
    <cellStyle name="Normal 73" xfId="727" xr:uid="{00000000-0005-0000-0000-000047050000}"/>
    <cellStyle name="Normal 73 2" xfId="1390" xr:uid="{00000000-0005-0000-0000-000048050000}"/>
    <cellStyle name="Normal 74" xfId="741" xr:uid="{00000000-0005-0000-0000-000049050000}"/>
    <cellStyle name="Normal 74 2" xfId="1391" xr:uid="{00000000-0005-0000-0000-00004A050000}"/>
    <cellStyle name="Normal 75" xfId="742" xr:uid="{00000000-0005-0000-0000-00004B050000}"/>
    <cellStyle name="Normal 75 2" xfId="1392" xr:uid="{00000000-0005-0000-0000-00004C050000}"/>
    <cellStyle name="Normal 76" xfId="743" xr:uid="{00000000-0005-0000-0000-00004D050000}"/>
    <cellStyle name="Normal 76 2" xfId="1393" xr:uid="{00000000-0005-0000-0000-00004E050000}"/>
    <cellStyle name="Normal 77" xfId="1407" xr:uid="{00000000-0005-0000-0000-00004F050000}"/>
    <cellStyle name="Normal 78" xfId="1408" xr:uid="{00000000-0005-0000-0000-000050050000}"/>
    <cellStyle name="Normal 79" xfId="1409" xr:uid="{00000000-0005-0000-0000-000051050000}"/>
    <cellStyle name="Normal 8" xfId="105" xr:uid="{00000000-0005-0000-0000-000052050000}"/>
    <cellStyle name="Normal 8 2" xfId="106" xr:uid="{00000000-0005-0000-0000-000053050000}"/>
    <cellStyle name="Normal 8 2 2" xfId="791" xr:uid="{00000000-0005-0000-0000-000054050000}"/>
    <cellStyle name="Normal 80" xfId="1410" xr:uid="{00000000-0005-0000-0000-000055050000}"/>
    <cellStyle name="Normal 81" xfId="1411" xr:uid="{00000000-0005-0000-0000-000056050000}"/>
    <cellStyle name="Normal 82" xfId="1425" xr:uid="{00000000-0005-0000-0000-000057050000}"/>
    <cellStyle name="Normal 83" xfId="1426" xr:uid="{00000000-0005-0000-0000-000058050000}"/>
    <cellStyle name="Normal 84" xfId="1440" xr:uid="{00000000-0005-0000-0000-000059050000}"/>
    <cellStyle name="Normal 85" xfId="1441" xr:uid="{00000000-0005-0000-0000-00005A050000}"/>
    <cellStyle name="Normal 86" xfId="1442" xr:uid="{00000000-0005-0000-0000-00005B050000}"/>
    <cellStyle name="Normal 87" xfId="1443" xr:uid="{00000000-0005-0000-0000-00005C050000}"/>
    <cellStyle name="Normal 88" xfId="1444" xr:uid="{00000000-0005-0000-0000-00005D050000}"/>
    <cellStyle name="Normal 89" xfId="1445" xr:uid="{00000000-0005-0000-0000-00005E050000}"/>
    <cellStyle name="Normal 9" xfId="107" xr:uid="{00000000-0005-0000-0000-00005F050000}"/>
    <cellStyle name="Normal 9 2" xfId="792" xr:uid="{00000000-0005-0000-0000-000060050000}"/>
    <cellStyle name="Normal 90" xfId="1446" xr:uid="{00000000-0005-0000-0000-000061050000}"/>
    <cellStyle name="Normal 91" xfId="1447" xr:uid="{00000000-0005-0000-0000-000062050000}"/>
    <cellStyle name="Normal 92" xfId="1448" xr:uid="{00000000-0005-0000-0000-000063050000}"/>
    <cellStyle name="Normal 93" xfId="1449" xr:uid="{00000000-0005-0000-0000-000064050000}"/>
    <cellStyle name="Normal 94" xfId="1450" xr:uid="{00000000-0005-0000-0000-000065050000}"/>
    <cellStyle name="Normal 95" xfId="1451" xr:uid="{00000000-0005-0000-0000-000066050000}"/>
    <cellStyle name="Normal 96" xfId="1452" xr:uid="{00000000-0005-0000-0000-000067050000}"/>
    <cellStyle name="Normal 97" xfId="1453" xr:uid="{00000000-0005-0000-0000-000068050000}"/>
    <cellStyle name="Normal 98" xfId="1454" xr:uid="{00000000-0005-0000-0000-000069050000}"/>
    <cellStyle name="Normal 99" xfId="1455" xr:uid="{00000000-0005-0000-0000-00006A050000}"/>
    <cellStyle name="Note 10" xfId="218" xr:uid="{00000000-0005-0000-0000-00006B050000}"/>
    <cellStyle name="Note 10 2" xfId="895" xr:uid="{00000000-0005-0000-0000-00006C050000}"/>
    <cellStyle name="Note 11" xfId="232" xr:uid="{00000000-0005-0000-0000-00006D050000}"/>
    <cellStyle name="Note 11 2" xfId="909" xr:uid="{00000000-0005-0000-0000-00006E050000}"/>
    <cellStyle name="Note 12" xfId="246" xr:uid="{00000000-0005-0000-0000-00006F050000}"/>
    <cellStyle name="Note 12 2" xfId="923" xr:uid="{00000000-0005-0000-0000-000070050000}"/>
    <cellStyle name="Note 13" xfId="260" xr:uid="{00000000-0005-0000-0000-000071050000}"/>
    <cellStyle name="Note 13 2" xfId="937" xr:uid="{00000000-0005-0000-0000-000072050000}"/>
    <cellStyle name="Note 14" xfId="274" xr:uid="{00000000-0005-0000-0000-000073050000}"/>
    <cellStyle name="Note 14 2" xfId="951" xr:uid="{00000000-0005-0000-0000-000074050000}"/>
    <cellStyle name="Note 15" xfId="288" xr:uid="{00000000-0005-0000-0000-000075050000}"/>
    <cellStyle name="Note 15 2" xfId="965" xr:uid="{00000000-0005-0000-0000-000076050000}"/>
    <cellStyle name="Note 16" xfId="302" xr:uid="{00000000-0005-0000-0000-000077050000}"/>
    <cellStyle name="Note 16 2" xfId="979" xr:uid="{00000000-0005-0000-0000-000078050000}"/>
    <cellStyle name="Note 17" xfId="316" xr:uid="{00000000-0005-0000-0000-000079050000}"/>
    <cellStyle name="Note 17 2" xfId="993" xr:uid="{00000000-0005-0000-0000-00007A050000}"/>
    <cellStyle name="Note 18" xfId="330" xr:uid="{00000000-0005-0000-0000-00007B050000}"/>
    <cellStyle name="Note 18 2" xfId="1007" xr:uid="{00000000-0005-0000-0000-00007C050000}"/>
    <cellStyle name="Note 19" xfId="344" xr:uid="{00000000-0005-0000-0000-00007D050000}"/>
    <cellStyle name="Note 19 2" xfId="1021" xr:uid="{00000000-0005-0000-0000-00007E050000}"/>
    <cellStyle name="Note 2" xfId="108" xr:uid="{00000000-0005-0000-0000-00007F050000}"/>
    <cellStyle name="Note 2 2" xfId="793" xr:uid="{00000000-0005-0000-0000-000080050000}"/>
    <cellStyle name="Note 20" xfId="359" xr:uid="{00000000-0005-0000-0000-000081050000}"/>
    <cellStyle name="Note 20 2" xfId="1036" xr:uid="{00000000-0005-0000-0000-000082050000}"/>
    <cellStyle name="Note 21" xfId="374" xr:uid="{00000000-0005-0000-0000-000083050000}"/>
    <cellStyle name="Note 21 2" xfId="1051" xr:uid="{00000000-0005-0000-0000-000084050000}"/>
    <cellStyle name="Note 22" xfId="388" xr:uid="{00000000-0005-0000-0000-000085050000}"/>
    <cellStyle name="Note 22 2" xfId="1065" xr:uid="{00000000-0005-0000-0000-000086050000}"/>
    <cellStyle name="Note 23" xfId="402" xr:uid="{00000000-0005-0000-0000-000087050000}"/>
    <cellStyle name="Note 23 2" xfId="1079" xr:uid="{00000000-0005-0000-0000-000088050000}"/>
    <cellStyle name="Note 24" xfId="416" xr:uid="{00000000-0005-0000-0000-000089050000}"/>
    <cellStyle name="Note 24 2" xfId="1093" xr:uid="{00000000-0005-0000-0000-00008A050000}"/>
    <cellStyle name="Note 25" xfId="430" xr:uid="{00000000-0005-0000-0000-00008B050000}"/>
    <cellStyle name="Note 25 2" xfId="1107" xr:uid="{00000000-0005-0000-0000-00008C050000}"/>
    <cellStyle name="Note 26" xfId="444" xr:uid="{00000000-0005-0000-0000-00008D050000}"/>
    <cellStyle name="Note 26 2" xfId="1121" xr:uid="{00000000-0005-0000-0000-00008E050000}"/>
    <cellStyle name="Note 27" xfId="458" xr:uid="{00000000-0005-0000-0000-00008F050000}"/>
    <cellStyle name="Note 27 2" xfId="1135" xr:uid="{00000000-0005-0000-0000-000090050000}"/>
    <cellStyle name="Note 28" xfId="472" xr:uid="{00000000-0005-0000-0000-000091050000}"/>
    <cellStyle name="Note 28 2" xfId="1149" xr:uid="{00000000-0005-0000-0000-000092050000}"/>
    <cellStyle name="Note 29" xfId="487" xr:uid="{00000000-0005-0000-0000-000093050000}"/>
    <cellStyle name="Note 29 2" xfId="1164" xr:uid="{00000000-0005-0000-0000-000094050000}"/>
    <cellStyle name="Note 3" xfId="120" xr:uid="{00000000-0005-0000-0000-000095050000}"/>
    <cellStyle name="Note 3 2" xfId="797" xr:uid="{00000000-0005-0000-0000-000096050000}"/>
    <cellStyle name="Note 30" xfId="501" xr:uid="{00000000-0005-0000-0000-000097050000}"/>
    <cellStyle name="Note 30 2" xfId="1178" xr:uid="{00000000-0005-0000-0000-000098050000}"/>
    <cellStyle name="Note 31" xfId="515" xr:uid="{00000000-0005-0000-0000-000099050000}"/>
    <cellStyle name="Note 31 2" xfId="1192" xr:uid="{00000000-0005-0000-0000-00009A050000}"/>
    <cellStyle name="Note 32" xfId="529" xr:uid="{00000000-0005-0000-0000-00009B050000}"/>
    <cellStyle name="Note 32 2" xfId="1206" xr:uid="{00000000-0005-0000-0000-00009C050000}"/>
    <cellStyle name="Note 33" xfId="543" xr:uid="{00000000-0005-0000-0000-00009D050000}"/>
    <cellStyle name="Note 33 2" xfId="1220" xr:uid="{00000000-0005-0000-0000-00009E050000}"/>
    <cellStyle name="Note 34" xfId="557" xr:uid="{00000000-0005-0000-0000-00009F050000}"/>
    <cellStyle name="Note 34 2" xfId="1234" xr:uid="{00000000-0005-0000-0000-0000A0050000}"/>
    <cellStyle name="Note 35" xfId="571" xr:uid="{00000000-0005-0000-0000-0000A1050000}"/>
    <cellStyle name="Note 35 2" xfId="1248" xr:uid="{00000000-0005-0000-0000-0000A2050000}"/>
    <cellStyle name="Note 36" xfId="585" xr:uid="{00000000-0005-0000-0000-0000A3050000}"/>
    <cellStyle name="Note 36 2" xfId="1262" xr:uid="{00000000-0005-0000-0000-0000A4050000}"/>
    <cellStyle name="Note 37" xfId="599" xr:uid="{00000000-0005-0000-0000-0000A5050000}"/>
    <cellStyle name="Note 37 2" xfId="1276" xr:uid="{00000000-0005-0000-0000-0000A6050000}"/>
    <cellStyle name="Note 38" xfId="613" xr:uid="{00000000-0005-0000-0000-0000A7050000}"/>
    <cellStyle name="Note 38 2" xfId="1290" xr:uid="{00000000-0005-0000-0000-0000A8050000}"/>
    <cellStyle name="Note 39" xfId="628" xr:uid="{00000000-0005-0000-0000-0000A9050000}"/>
    <cellStyle name="Note 39 2" xfId="1305" xr:uid="{00000000-0005-0000-0000-0000AA050000}"/>
    <cellStyle name="Note 4" xfId="134" xr:uid="{00000000-0005-0000-0000-0000AB050000}"/>
    <cellStyle name="Note 4 2" xfId="811" xr:uid="{00000000-0005-0000-0000-0000AC050000}"/>
    <cellStyle name="Note 40" xfId="642" xr:uid="{00000000-0005-0000-0000-0000AD050000}"/>
    <cellStyle name="Note 40 2" xfId="1319" xr:uid="{00000000-0005-0000-0000-0000AE050000}"/>
    <cellStyle name="Note 41" xfId="656" xr:uid="{00000000-0005-0000-0000-0000AF050000}"/>
    <cellStyle name="Note 41 2" xfId="1333" xr:uid="{00000000-0005-0000-0000-0000B0050000}"/>
    <cellStyle name="Note 42" xfId="670" xr:uid="{00000000-0005-0000-0000-0000B1050000}"/>
    <cellStyle name="Note 42 2" xfId="1347" xr:uid="{00000000-0005-0000-0000-0000B2050000}"/>
    <cellStyle name="Note 43" xfId="684" xr:uid="{00000000-0005-0000-0000-0000B3050000}"/>
    <cellStyle name="Note 43 2" xfId="1361" xr:uid="{00000000-0005-0000-0000-0000B4050000}"/>
    <cellStyle name="Note 44" xfId="698" xr:uid="{00000000-0005-0000-0000-0000B5050000}"/>
    <cellStyle name="Note 44 2" xfId="1377" xr:uid="{00000000-0005-0000-0000-0000B6050000}"/>
    <cellStyle name="Note 45" xfId="712" xr:uid="{00000000-0005-0000-0000-0000B7050000}"/>
    <cellStyle name="Note 45 2" xfId="1394" xr:uid="{00000000-0005-0000-0000-0000B8050000}"/>
    <cellStyle name="Note 46" xfId="728" xr:uid="{00000000-0005-0000-0000-0000B9050000}"/>
    <cellStyle name="Note 46 2" xfId="1412" xr:uid="{00000000-0005-0000-0000-0000BA050000}"/>
    <cellStyle name="Note 47" xfId="1427" xr:uid="{00000000-0005-0000-0000-0000BB050000}"/>
    <cellStyle name="Note 48" xfId="1457" xr:uid="{00000000-0005-0000-0000-0000BC050000}"/>
    <cellStyle name="Note 49" xfId="1472" xr:uid="{00000000-0005-0000-0000-0000BD050000}"/>
    <cellStyle name="Note 5" xfId="148" xr:uid="{00000000-0005-0000-0000-0000BE050000}"/>
    <cellStyle name="Note 5 2" xfId="825" xr:uid="{00000000-0005-0000-0000-0000BF050000}"/>
    <cellStyle name="Note 50" xfId="1491" xr:uid="{ED8B514F-D813-4227-A373-7E5D7A7ED318}"/>
    <cellStyle name="Note 6" xfId="162" xr:uid="{00000000-0005-0000-0000-0000C0050000}"/>
    <cellStyle name="Note 6 2" xfId="839" xr:uid="{00000000-0005-0000-0000-0000C1050000}"/>
    <cellStyle name="Note 7" xfId="176" xr:uid="{00000000-0005-0000-0000-0000C2050000}"/>
    <cellStyle name="Note 7 2" xfId="853" xr:uid="{00000000-0005-0000-0000-0000C3050000}"/>
    <cellStyle name="Note 8" xfId="190" xr:uid="{00000000-0005-0000-0000-0000C4050000}"/>
    <cellStyle name="Note 8 2" xfId="867" xr:uid="{00000000-0005-0000-0000-0000C5050000}"/>
    <cellStyle name="Note 9" xfId="204" xr:uid="{00000000-0005-0000-0000-0000C6050000}"/>
    <cellStyle name="Note 9 2" xfId="881" xr:uid="{00000000-0005-0000-0000-0000C7050000}"/>
    <cellStyle name="Output" xfId="109" builtinId="21" customBuiltin="1"/>
    <cellStyle name="Percent 2" xfId="110" xr:uid="{00000000-0005-0000-0000-0000C9050000}"/>
    <cellStyle name="Percent 2 2" xfId="794" xr:uid="{00000000-0005-0000-0000-0000CA050000}"/>
    <cellStyle name="Style 1" xfId="111" xr:uid="{00000000-0005-0000-0000-0000CB050000}"/>
    <cellStyle name="Style 1 2" xfId="112" xr:uid="{00000000-0005-0000-0000-0000CC050000}"/>
    <cellStyle name="Style 1 3" xfId="113" xr:uid="{00000000-0005-0000-0000-0000CD050000}"/>
    <cellStyle name="Title" xfId="118" builtinId="15" customBuiltin="1"/>
    <cellStyle name="Title 2" xfId="114" xr:uid="{00000000-0005-0000-0000-0000CF050000}"/>
    <cellStyle name="Total" xfId="115" builtinId="25" customBuiltin="1"/>
    <cellStyle name="Warning Text" xfId="116" builtinId="11" customBuiltin="1"/>
  </cellStyles>
  <dxfs count="2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F0"/>
          <bgColor rgb="FF000000"/>
        </patternFill>
      </fill>
    </dxf>
    <dxf>
      <font>
        <b/>
        <strike val="0"/>
        <outline val="0"/>
        <shadow val="0"/>
        <u val="none"/>
        <vertAlign val="baseline"/>
        <sz val="14"/>
        <color rgb="FFFF0000"/>
        <name val="Calibri"/>
        <family val="2"/>
        <scheme val="none"/>
      </font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 tint="4.9989318521683403E-2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rgb="FFFF0000"/>
        <name val="Calibri"/>
        <family val="2"/>
        <scheme val="none"/>
      </font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 tint="4.9989318521683403E-2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DCE6F1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A6A6A6"/>
          <bgColor rgb="FF000000"/>
        </patternFill>
      </fill>
    </dxf>
  </dxfs>
  <tableStyles count="0" defaultTableStyle="TableStyleMedium9" defaultPivotStyle="PivotStyleLight16"/>
  <colors>
    <mruColors>
      <color rgb="FFFF0000"/>
      <color rgb="FF99FF66"/>
      <color rgb="FF66CCFF"/>
      <color rgb="FFFF33CC"/>
      <color rgb="FFFF00FF"/>
      <color rgb="FFFFFFFF"/>
      <color rgb="FFFF66FF"/>
      <color rgb="FFFFFF99"/>
      <color rgb="FFFF99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28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1991" name="AutoShape 7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00000000-0008-0000-0F00-000007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208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1992" name="AutoShape 8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00000000-0008-0000-0F00-000008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210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152960</xdr:colOff>
      <xdr:row>1</xdr:row>
      <xdr:rowOff>47625</xdr:rowOff>
    </xdr:to>
    <xdr:sp macro="" textlink="">
      <xdr:nvSpPr>
        <xdr:cNvPr id="260199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0000000-0008-0000-0F00-000009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21278825"/>
          <a:ext cx="20002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" name="AutoShape 7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86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" name="AutoShape 8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8642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152960</xdr:colOff>
      <xdr:row>1</xdr:row>
      <xdr:rowOff>47625</xdr:rowOff>
    </xdr:to>
    <xdr:sp macro="" textlink="">
      <xdr:nvSpPr>
        <xdr:cNvPr id="4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686620325"/>
          <a:ext cx="20002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1994" name="AutoShape 10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0A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2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1995" name="AutoShape 11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0B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23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1996" name="AutoShape 12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0C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25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1997" name="AutoShape 13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00000000-0008-0000-0100-00000D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80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1998" name="AutoShape 14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00000000-0008-0000-0100-00000E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82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152960</xdr:colOff>
      <xdr:row>1</xdr:row>
      <xdr:rowOff>47625</xdr:rowOff>
    </xdr:to>
    <xdr:sp macro="" textlink="">
      <xdr:nvSpPr>
        <xdr:cNvPr id="2601999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0000000-0008-0000-0100-00000F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8431325"/>
          <a:ext cx="20002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0" name="AutoShape 16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10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056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1" name="AutoShape 17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11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058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2" name="AutoShape 18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12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060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3" name="AutoShape 19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13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252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4" name="AutoShape 20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14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271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5" name="AutoShape 21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15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290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6" name="AutoShape 22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16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97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7" name="AutoShape 23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17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99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8" name="AutoShape 24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18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014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09" name="AutoShape 25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19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68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0" name="AutoShape 26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1A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70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1" name="AutoShape 27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1B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71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2" name="AutoShape 28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1C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3348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3" name="AutoShape 29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1D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336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4" name="AutoShape 30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1E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338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5" name="AutoShape 31" descr="https://avatars.mds.yandex.net/get-mail-signature/1597781/b809e37f96e10eb1a72a592582557e0b/orig">
          <a:extLst>
            <a:ext uri="{FF2B5EF4-FFF2-40B4-BE49-F238E27FC236}">
              <a16:creationId xmlns:a16="http://schemas.microsoft.com/office/drawing/2014/main" id="{00000000-0008-0000-0100-00001F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42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6" name="AutoShape 32" descr="https://avatars.mds.yandex.net/get-mail-signature/1597781/690d829bffc43d1227fadd67b104ef3c/orig">
          <a:extLst>
            <a:ext uri="{FF2B5EF4-FFF2-40B4-BE49-F238E27FC236}">
              <a16:creationId xmlns:a16="http://schemas.microsoft.com/office/drawing/2014/main" id="{00000000-0008-0000-0100-000020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424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7" name="AutoShape 33" descr="https://avatars.mds.yandex.net/get-mail-signature/200369/5566afd15977360daf8edf857a1a88c7/orig">
          <a:extLst>
            <a:ext uri="{FF2B5EF4-FFF2-40B4-BE49-F238E27FC236}">
              <a16:creationId xmlns:a16="http://schemas.microsoft.com/office/drawing/2014/main" id="{00000000-0008-0000-0100-000021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426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8" name="AutoShape 34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22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02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19" name="AutoShape 35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23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04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0" name="AutoShape 36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24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06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1" name="AutoShape 37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25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25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2" name="AutoShape 38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26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27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3" name="AutoShape 39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27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29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4" name="AutoShape 40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28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62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5" name="AutoShape 41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29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63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6" name="AutoShape 42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2A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65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7" name="AutoShape 43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00000000-0008-0000-0100-00002B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8642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28" name="AutoShape 44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00000000-0008-0000-0100-00002C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8662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152960</xdr:colOff>
      <xdr:row>1</xdr:row>
      <xdr:rowOff>47625</xdr:rowOff>
    </xdr:to>
    <xdr:sp macro="" textlink="">
      <xdr:nvSpPr>
        <xdr:cNvPr id="2602029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0000000-0008-0000-0100-00002D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86810825"/>
          <a:ext cx="20002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0" name="AutoShape 46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2E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23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1" name="AutoShape 47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2F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25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2" name="AutoShape 48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30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271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3" name="AutoShape 49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00000000-0008-0000-0100-000031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82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4" name="AutoShape 50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00000000-0008-0000-0100-000032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84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152960</xdr:colOff>
      <xdr:row>1</xdr:row>
      <xdr:rowOff>47625</xdr:rowOff>
    </xdr:to>
    <xdr:sp macro="" textlink="">
      <xdr:nvSpPr>
        <xdr:cNvPr id="2602035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0000000-0008-0000-0100-000033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698621825"/>
          <a:ext cx="20002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6" name="AutoShape 52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34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058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7" name="AutoShape 53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35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060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8" name="AutoShape 54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36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062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39" name="AutoShape 55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37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271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0" name="AutoShape 56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38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290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1" name="AutoShape 57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39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30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2" name="AutoShape 58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3A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199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3" name="AutoShape 59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3B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014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4" name="AutoShape 60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3C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03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5" name="AutoShape 61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3D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70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6" name="AutoShape 62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3E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71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7" name="AutoShape 63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3F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2738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8" name="AutoShape 64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40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336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49" name="AutoShape 65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41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338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0" name="AutoShape 66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42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3405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1" name="AutoShape 67" descr="https://avatars.mds.yandex.net/get-mail-signature/1597781/b809e37f96e10eb1a72a592582557e0b/orig">
          <a:extLst>
            <a:ext uri="{FF2B5EF4-FFF2-40B4-BE49-F238E27FC236}">
              <a16:creationId xmlns:a16="http://schemas.microsoft.com/office/drawing/2014/main" id="{00000000-0008-0000-0100-000043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424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2" name="AutoShape 68" descr="https://avatars.mds.yandex.net/get-mail-signature/1597781/690d829bffc43d1227fadd67b104ef3c/orig">
          <a:extLst>
            <a:ext uri="{FF2B5EF4-FFF2-40B4-BE49-F238E27FC236}">
              <a16:creationId xmlns:a16="http://schemas.microsoft.com/office/drawing/2014/main" id="{00000000-0008-0000-0100-000044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426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3" name="AutoShape 69" descr="https://avatars.mds.yandex.net/get-mail-signature/200369/5566afd15977360daf8edf857a1a88c7/orig">
          <a:extLst>
            <a:ext uri="{FF2B5EF4-FFF2-40B4-BE49-F238E27FC236}">
              <a16:creationId xmlns:a16="http://schemas.microsoft.com/office/drawing/2014/main" id="{00000000-0008-0000-0100-000045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428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4" name="AutoShape 70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46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14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5" name="AutoShape 71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47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163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6" name="AutoShape 72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48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18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7" name="AutoShape 73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49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37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8" name="AutoShape 74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4A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39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59" name="AutoShape 75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4B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411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60" name="AutoShape 76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0000000-0008-0000-0100-00004C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735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61" name="AutoShape 77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0000000-0008-0000-0100-00004D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75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602062" name="AutoShape 78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0000000-0008-0000-0100-00004EB42700}"/>
            </a:ext>
          </a:extLst>
        </xdr:cNvPr>
        <xdr:cNvSpPr>
          <a:spLocks noChangeAspect="1" noChangeArrowheads="1"/>
        </xdr:cNvSpPr>
      </xdr:nvSpPr>
      <xdr:spPr bwMode="auto">
        <a:xfrm>
          <a:off x="0" y="17677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5" name="AutoShape 7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7052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6" name="AutoShape 8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7054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8" name="AutoShape 7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A0DD254C-44F5-4AF7-BC11-9D7588B3CAC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9" name="AutoShape 8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0292F57A-BE93-4468-9087-1285DD59550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1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16FD412-C145-4C05-BF5F-FE0329259DC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11" name="AutoShape 7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EA06FD76-1971-4BBE-BF18-DA549F68528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12" name="AutoShape 8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E057966C-E96F-4407-98B3-20CE6247D7C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1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4DFDEB3-E31E-4E60-AAF4-9F021EC76C2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14" name="AutoShape 10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01748FE2-E05B-4698-8FB5-5E8F754364E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15" name="AutoShape 11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56127495-BC3B-4200-B723-FBF4321924C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16" name="AutoShape 12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C0CBBD54-B009-475A-839D-8CFE30024C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17" name="AutoShape 13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09AB663F-3450-40B8-9E4C-98E1FC9994C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18" name="AutoShape 14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2FCB0E81-2D24-4517-839A-73383FED34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19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57D94FF-1DE1-456B-98F8-896412DBAB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0" name="AutoShape 16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6E4E82F8-E811-4C37-8539-BB6C149B78A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1" name="AutoShape 17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F2AF4EFD-72FB-4CB1-85B2-A06DB8EE3C5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2" name="AutoShape 18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C7D279F6-741B-4E4F-A560-3BB4545F33B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3" name="AutoShape 19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66D4E1AA-05B4-49A0-9576-FFA74678A64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4" name="AutoShape 20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C2E9F89C-AF47-43FC-B4CD-677BC01E39B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5" name="AutoShape 21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7C3C2F8F-76EC-405F-A70F-8838C4F773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" name="AutoShape 22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F89A393C-631D-48AE-93D4-2539742B67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7" name="AutoShape 23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B20CB3B1-28E6-4249-9C0A-252D38AF160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8" name="AutoShape 24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74B61717-FC9E-4BD7-9D30-CD561B8F20C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9" name="AutoShape 25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23BE8089-144F-46EB-942C-45A18294A03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30" name="AutoShape 26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556F0929-DD0A-4564-BDC7-4561A5B523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31" name="AutoShape 27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C96AAF95-F652-4026-B338-AAAB6DAAAEE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1984" name="AutoShape 28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FB42DF6E-405C-4BA3-A9A3-C18759F5497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1985" name="AutoShape 29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ACDF7225-1279-4631-8618-5EF4D23D5B0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1986" name="AutoShape 30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A7FC4100-B632-4102-BA0D-8864F3FEB69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1987" name="AutoShape 31" descr="https://avatars.mds.yandex.net/get-mail-signature/1597781/b809e37f96e10eb1a72a592582557e0b/orig">
          <a:extLst>
            <a:ext uri="{FF2B5EF4-FFF2-40B4-BE49-F238E27FC236}">
              <a16:creationId xmlns:a16="http://schemas.microsoft.com/office/drawing/2014/main" id="{068CE170-E4FB-40B5-8D89-C293CA3BD6A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1988" name="AutoShape 32" descr="https://avatars.mds.yandex.net/get-mail-signature/1597781/690d829bffc43d1227fadd67b104ef3c/orig">
          <a:extLst>
            <a:ext uri="{FF2B5EF4-FFF2-40B4-BE49-F238E27FC236}">
              <a16:creationId xmlns:a16="http://schemas.microsoft.com/office/drawing/2014/main" id="{D2BEA591-28EF-49B9-A3C3-5806FD544C4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1989" name="AutoShape 33" descr="https://avatars.mds.yandex.net/get-mail-signature/200369/5566afd15977360daf8edf857a1a88c7/orig">
          <a:extLst>
            <a:ext uri="{FF2B5EF4-FFF2-40B4-BE49-F238E27FC236}">
              <a16:creationId xmlns:a16="http://schemas.microsoft.com/office/drawing/2014/main" id="{574515FE-2A9E-4D31-B8B7-E429C21BB0B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1990" name="AutoShape 34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19D5700B-3D58-44F2-9518-FDA415ABF4E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63" name="AutoShape 35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136D3D02-48C5-4617-BF25-B4013E9A2A5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64" name="AutoShape 36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BD145E40-D8A7-4331-9FFB-F2C80A0388B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65" name="AutoShape 37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7A09C707-150A-4B6E-917F-81183E46CFE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66" name="AutoShape 38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FED39FA4-72FF-4861-8528-8DB53DC4FE4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67" name="AutoShape 39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A2468802-E184-47B2-9F95-C342A183047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68" name="AutoShape 40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9D62D9D9-BA6D-4B69-8A4F-5BBB0DDBA2E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69" name="AutoShape 41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D95F1589-4A24-4BF3-AFBE-C3DC204A642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70" name="AutoShape 42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7FC30976-4304-42B1-8418-B608392BEA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71" name="AutoShape 43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7E300BF4-4A50-4457-B7F2-15F57B0138D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72" name="AutoShape 44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968702A6-744D-465C-96A5-EE8828472B2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073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5F3EEE2-8593-4DB3-8575-4B4D0D3ACAF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74" name="AutoShape 46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A928E9D9-AF86-42C2-8704-99B81C074FE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75" name="AutoShape 47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53089B9D-48D0-41B3-8C9B-9D6CC536E3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76" name="AutoShape 48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1EAB9ED7-E7B9-4F34-BAD2-A134F86CFF6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77" name="AutoShape 49" descr="https://avatars.mds.yandex.net/get-mail-signature/222735/a05286cb3e322b4e9b8546bec4eeac68/orig">
          <a:extLst>
            <a:ext uri="{FF2B5EF4-FFF2-40B4-BE49-F238E27FC236}">
              <a16:creationId xmlns:a16="http://schemas.microsoft.com/office/drawing/2014/main" id="{6A578751-58D5-4115-A314-06AB85E6D0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78" name="AutoShape 50" descr="https://avatars.mds.yandex.net/get-mail-signature/200369/16127328b8b72df2080f88e6869126f1/orig">
          <a:extLst>
            <a:ext uri="{FF2B5EF4-FFF2-40B4-BE49-F238E27FC236}">
              <a16:creationId xmlns:a16="http://schemas.microsoft.com/office/drawing/2014/main" id="{73FC9277-A71D-4210-AA0C-E11A2C2271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0" name="AutoShape 52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761475A6-80F3-4805-9A3B-08A664DF77A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1" name="AutoShape 53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6D5AB1D8-3CCF-4884-9149-8A8F3B1109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2" name="AutoShape 54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1212E4E9-0605-4910-9702-4D7697A2C81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3" name="AutoShape 55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56CCA628-9D3F-4BB5-B4F4-0D741FB07C7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4" name="AutoShape 56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EB820870-B472-4A8A-847E-5BBEF52ECA4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5" name="AutoShape 57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36306ECC-1BD3-4E21-9B21-C4A7995255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6" name="AutoShape 58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D94238F0-3E4D-46BB-9DF8-2D4D6923567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7" name="AutoShape 59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DD0C2B20-77B5-4CC0-8D73-8BFAB95626B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8" name="AutoShape 60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8E004249-AE1A-4F96-A315-7389C2D5903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89" name="AutoShape 61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A0F06143-830C-4388-B103-5B47AF11024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0" name="AutoShape 62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B8BE6A6B-8ACD-41D9-810C-5BA2AA6D692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1" name="AutoShape 63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0995C5BE-803C-492F-9664-E4A4308DEB5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2" name="AutoShape 64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28773C6B-A11E-4892-9E19-0C1ADBBA57F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3" name="AutoShape 65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D4648E1D-364B-48B2-BD7F-01556FCE93B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4" name="AutoShape 66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6CB2CB25-4A53-435C-9DE1-A2B8BDC0AB2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5" name="AutoShape 67" descr="https://avatars.mds.yandex.net/get-mail-signature/1597781/b809e37f96e10eb1a72a592582557e0b/orig">
          <a:extLst>
            <a:ext uri="{FF2B5EF4-FFF2-40B4-BE49-F238E27FC236}">
              <a16:creationId xmlns:a16="http://schemas.microsoft.com/office/drawing/2014/main" id="{9382490D-251D-4B53-A087-668EB59F1D1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6" name="AutoShape 68" descr="https://avatars.mds.yandex.net/get-mail-signature/1597781/690d829bffc43d1227fadd67b104ef3c/orig">
          <a:extLst>
            <a:ext uri="{FF2B5EF4-FFF2-40B4-BE49-F238E27FC236}">
              <a16:creationId xmlns:a16="http://schemas.microsoft.com/office/drawing/2014/main" id="{9457B73E-5668-46F0-8F96-F1BEF4B93BA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7" name="AutoShape 69" descr="https://avatars.mds.yandex.net/get-mail-signature/200369/5566afd15977360daf8edf857a1a88c7/orig">
          <a:extLst>
            <a:ext uri="{FF2B5EF4-FFF2-40B4-BE49-F238E27FC236}">
              <a16:creationId xmlns:a16="http://schemas.microsoft.com/office/drawing/2014/main" id="{88BCB737-545C-4747-809D-7ACD3B9CD6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8" name="AutoShape 70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AE58B441-9E37-4B40-910E-85FDD6F3A99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099" name="AutoShape 71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CB4C12C5-B9D5-4727-8E26-F7BF099968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100" name="AutoShape 72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A64D7FC4-3A7D-4B07-A42A-CDEA1F70787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101" name="AutoShape 73" descr="https://avatars.mds.yandex.net/get-mail-signature/1597781/5dac76064fbd4f344d261d12c48351c4/orig">
          <a:extLst>
            <a:ext uri="{FF2B5EF4-FFF2-40B4-BE49-F238E27FC236}">
              <a16:creationId xmlns:a16="http://schemas.microsoft.com/office/drawing/2014/main" id="{C739F3B9-5DE5-4318-87C6-A73BA6C222D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102" name="AutoShape 74" descr="https://avatars.mds.yandex.net/get-mail-signature/1597781/feb14d1ef0a799f1ed0db0c722c84284/orig">
          <a:extLst>
            <a:ext uri="{FF2B5EF4-FFF2-40B4-BE49-F238E27FC236}">
              <a16:creationId xmlns:a16="http://schemas.microsoft.com/office/drawing/2014/main" id="{0FC237C5-4472-4843-AD08-1A505A47B8A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304800" cy="304800"/>
    <xdr:sp macro="" textlink="">
      <xdr:nvSpPr>
        <xdr:cNvPr id="2602103" name="AutoShape 75" descr="https://avatars.mds.yandex.net/get-mail-signature/1661553/f20b1cd1d77d6766bc6dbbe551952d85/orig">
          <a:extLst>
            <a:ext uri="{FF2B5EF4-FFF2-40B4-BE49-F238E27FC236}">
              <a16:creationId xmlns:a16="http://schemas.microsoft.com/office/drawing/2014/main" id="{7225A5DF-E923-4ADA-A69E-78C923B1184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17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EDD7C0A-F38E-431D-89FA-1AFBDCB5369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18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B38F42D-A49F-4F93-8876-13AFD666A77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19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E7F747F-F4D6-42BD-8368-67B5831F810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20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66C8CBF-96A7-4F80-8055-C4F6275C689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21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864CBA62-989D-4DEA-BBD6-128C38FE37F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22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28BC5D04-E99E-443A-A32C-4B3A8E5EACB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2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0AF59B1-A3EF-4971-BBA1-EDECD5B593C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24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0DFE590-618B-48C0-A6CF-777316C93DD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001931" cy="238125"/>
    <xdr:sp macro="" textlink="">
      <xdr:nvSpPr>
        <xdr:cNvPr id="2602125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1393477-10ED-4CB7-9621-165741AE66D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26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4FD1F1D-239B-49CE-9F52-A362C9B3596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27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14A8CF1-3E15-4F94-9720-B16FD25552E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28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4B895AC-80E9-4A08-9A3E-2D8297028D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29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37E1006-E329-4B0A-A6B5-E0C3FE6748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0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0EECC1D-8AB3-4956-BD57-D50AA8F2508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1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92ABB2A-523E-4AF9-B0A6-11A78430A1E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2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BFE15B4-A46E-47A2-A422-B2DB3D6EF66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3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12BE464-224E-4D2A-82B8-E76858EC98D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4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7DC5AD9-7F60-4C1F-9C57-835349A645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5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CA45705-489F-4A6B-A2B5-2E9E1DBD64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6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4DA6A4D-05CF-418E-B2A6-7FCCCB49B06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7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61A2F89-8E56-4200-97B6-D9F53B2F50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8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3280DFF-19F8-479A-AB32-E2143645C52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39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4ACF507-8415-4A65-8B6B-AA6C456A365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4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BD9713D-6E9D-4EF0-9699-D4138AFBD1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41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8346857-425C-42CE-911B-80E3B7172C2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42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469A02D-A723-4F31-BB95-4402BBFB42B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2001931" cy="238125"/>
    <xdr:sp macro="" textlink="">
      <xdr:nvSpPr>
        <xdr:cNvPr id="2602143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D3DAEB6-E5C2-4B69-A3CA-31717D43DC9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44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A981F78-9A4C-405F-B873-02B7AF18AD4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45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B50C2FB-3149-49D6-8069-15771CA96D2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46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20E39613-6002-4EA2-B383-FCAAF2F648D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47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4BB3822-570D-4984-9609-DD5BB665F6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48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99C05CE-60EF-471F-88F9-2BFECAFEFD7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49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8ED1C68-7173-4A3D-8D21-7AF8D5844C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19FB1EF-4BC9-4DB5-B08E-79D22CFBBE6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1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1E0DFE3-9E0B-4DC7-BDA0-CA911045ECE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2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64FAAF8-44EF-446E-81F0-578FBF04B87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0B256D4-09B9-4171-9953-E4E719E9A3B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4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9A2D8EE-7D22-4DE9-AE55-2CA8916BB15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5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23981D0A-3479-481F-85D3-C634599E905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6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552BD85-8455-484D-B0D4-3CBD543A076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7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6576837-37F0-4348-926B-1EE01307E1C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8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0D9F634-AB27-454B-B948-6211760104B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59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6B1545D-F4EA-4A3F-846C-A2D0C0D392F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60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65DB42E-7798-48D7-B4D0-5903957919D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001931" cy="238125"/>
    <xdr:sp macro="" textlink="">
      <xdr:nvSpPr>
        <xdr:cNvPr id="2602161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243A2363-81A3-4494-B74D-591EE4D4A54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62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C9E4944-61E7-4E4D-8374-25E68611A84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6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1AEA396-4FDF-4FDA-B85F-37A83D43088E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64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0AAB943-06F5-40E8-9424-3E90933489DD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65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546BBD2-B57D-48B4-B3DF-B839B00D0D05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66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680597E-68B9-42F5-B0FF-EDA82176F64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67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65CC3CB-CC1B-4207-8736-2265C16E6B4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68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7041C32-7474-4082-A889-FAFB9C76E73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69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8FF2D417-C7BA-4D4C-8B0C-D413F408203A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0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ED366B0-5ACE-4997-AFE8-801D0922E55D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1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52D891D-8688-404F-BF2B-E61868486052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2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105B052-A5BF-42A8-80A8-95A7D10FCEC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3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E57CF38-08C3-492C-BA9F-D840ACA4BBFB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4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041086A-98FA-45C8-88D6-EA30B60313C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5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F556B39-76A6-4F2C-857B-8CE457CADB33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6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28D1F73-6ECD-43EE-B862-0FFE1E333EB0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7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A07D3FD-F900-40F8-A1D7-84426A4A9CCD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8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8198A251-E2A6-4CB5-B718-38A6837B237E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79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2420935-A96B-4160-8A29-400CD88470F7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B553749-B1DB-4C7A-9235-51491FDBCB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1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0BAB6B1-C498-4F0D-B535-9937AF0CBCB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2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1251CF2B-89CF-4E14-9943-F6DC960BB22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3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CE55068-B2B3-4E25-A361-7347E3E8196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4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C68DDB9-86D5-423D-A3D0-2B812D0ADAC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5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859C142-BDFC-439C-AFED-293906580BE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6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6E66FA4-8869-4E37-BC53-18CAC1E676B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7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F3B023D-DAF6-49B2-B2E1-8734792A27E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8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89332D3-884F-4C25-9464-E8E7BF2158D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89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D57DA17-A02B-4B1B-B932-02D874A3060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9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3699DEA-0E43-470D-972E-B5C7A0EE5FD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91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216CDDE7-0C1F-4C07-AA68-84290B95CC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92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E081D97-E10C-40C8-AB5B-95A0B75DA1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93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5874F3B-FDBB-4AE9-932D-CE861C7FFCD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94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1AE06395-260B-4996-9755-E905E99034C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95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0977E98-E559-4D86-B66F-3E81B87B028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96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774AD1E-76F9-458A-A177-BB570837F41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001931" cy="238125"/>
    <xdr:sp macro="" textlink="">
      <xdr:nvSpPr>
        <xdr:cNvPr id="2602197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1DA3BA2-7842-429E-A657-0B00E65AC1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198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517D882-9FEB-4C4F-832D-FD31B0AE3909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199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533A263-3AEC-415B-9D92-9AB5F23BFC58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0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0B2D0B0-BC65-4DF7-AA2E-599D4FE734F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1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FD2D79C-3CF5-4C39-8692-1D4762346152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2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18136A86-9800-4C45-B7F0-8CBA52602B3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22633F77-FA67-4C9E-8F5A-F98F6BD85F3A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4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FC15455-2F18-43E5-81FD-C26D149460C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5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AF98AE1-0DB7-4CCC-9DA5-71E94FFD086A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6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B2B00B6-A13B-4F41-8EBF-88A93CDBE8E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7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1794EA84-EAC4-48B4-901B-368CA6E9F44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8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8AB7EBB-43CE-4AF2-BED9-F07891F049B2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09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73FE353-0A25-46BD-A96B-62AD82405389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0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1581190-7451-4343-9A28-DB6B951BB515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1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84F5BD79-9E34-4EDD-B716-319B6EEDA54A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2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18C326DF-6C44-498A-9935-0783E04B38D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3088B89-5F4E-4C5B-99C5-5B734C3ED6F9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4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EE002EA-C5C2-4491-89BF-2E1D153BE19E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5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4E313E8-11C3-482F-9459-BE56C4F66168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6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4FBEAD8-60C4-4145-86A0-BEE126C84FA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7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C2EC16F-C697-42E3-85D3-47B173C4430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8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8FDF7F75-C795-485F-953B-4AF03921FA3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19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095135A-73A4-4409-AEE8-0A05AE4A1CC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0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2442D6F-8429-4F48-A195-C852B1CD08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1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2EE1D0CA-DB83-44DD-9882-9665DE99F9A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2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D2C7145-624A-4578-BF66-CD4EEC0D1E3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3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876150D-126B-4490-B1A7-BE3B1A07F7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4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FF62011-95BC-4F89-BF53-9F5A07484E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5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2118877-296D-4F9B-8059-2EB812EBC5B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6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B0240D2-AF65-494C-AAC9-494430453A4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7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F7924F0-1C95-4422-9342-8C9B4DC10F1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8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C67B529-F143-46EA-A33E-AD1FD67CA09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29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76C579D-9708-46DF-9DD0-D823DBA65D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3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70DABD9-ED4C-4AD7-B75B-63920976F68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31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882985CE-0529-41E1-9EC9-19A5ED63918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32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17D1BC07-45EA-4A53-ACCE-B54866F6C2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001931" cy="238125"/>
    <xdr:sp macro="" textlink="">
      <xdr:nvSpPr>
        <xdr:cNvPr id="2602233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E7DA9A9-9EA7-49A7-BF62-6092E06DF63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34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18C9315B-6F43-4043-ADAE-5805BA5FF571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35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B49D576-F153-42A8-A583-89F09B8844B9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36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83250B5-5422-4903-A2BC-D616A2A6944D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37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1D55AB3-0403-4BAF-8B2A-D4D2AFF0B2EB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38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BFD4FDB-B6C3-498F-9E59-8CD120D4A83E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39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1F66DCA-66FA-49EC-879B-ADF1FE7BEB5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2656143-974B-46CE-B0D5-B6B33AE7CD5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1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B0FF06C-2C21-40ED-A69A-1230FC2E7B50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2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D9424A0-1967-4C94-BA08-C0B5B4BC19D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4557FAA-5C44-46ED-A310-53CDF777DE00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4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D7281C2-B480-4A49-B22A-332251B58058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5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C0D71D4-16B7-4819-A8B0-F7AF605835D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6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40CBE64-E5E9-41D4-B343-FAB5E2BCC2C6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7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72211EF-7E32-4959-83EA-BDAEAE02886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8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C638017-5B88-4B4D-A08C-551D2A97403E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49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44A1973-F454-42FD-A688-03A0D400EBE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0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48EECBB-49C0-4442-8B76-29D6DD72CA5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1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52C539E-70CD-49E5-A535-6DF3A54F447A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2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2E7C41C-0186-4AE6-B808-949CFFBA90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3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32ADDB3-1FC2-4B05-A438-C9D5833B89F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4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89E1582-487F-4C38-A457-3D859CB0CC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5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6EB1633-70F1-46EB-A48A-6520C21CDD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6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19970C6-8988-4E84-9931-EC09CC75130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7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FA6A6785-A8E7-4C87-AEE9-E528ED5E10F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8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4984A28-0879-4FB1-883E-66ADF7A0B25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59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D36B6E4-15F5-4206-9198-F0C9ADC99B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0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6250104-764C-4A08-8483-2BD3222F71C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1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8084F4F3-92E8-4CE0-96C5-B769EAAF5C4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2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2551607-6D1D-496D-B9BD-917E36629DD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3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8A60036-CA3F-4084-A053-9648A74FAE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4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8A95312C-528F-4722-9F4B-CC84D21F78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5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E955A55D-4726-48FF-AFD8-81AFC044C20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6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E64DA65-AB5F-4B01-B2A0-5A05789ABCF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7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C94B0CF-7696-44E6-90BC-D10328D36EF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8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88FE72F-8276-4909-B90E-0EEAC1C1A6F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001931" cy="238125"/>
    <xdr:sp macro="" textlink="">
      <xdr:nvSpPr>
        <xdr:cNvPr id="2602269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19328229-92E3-4703-99AA-F622165A76B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91A074D-E9B9-44B0-9097-576CCDDC1A08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1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274C0C5-C57F-4365-93FF-1A92DD99111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2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489A2A7-D0D8-466F-A407-5E6EB04F9231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3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DDE17ADC-7445-4B97-A3F3-8EE2764DA6BB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4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27B59941-5ACC-4E28-9BBF-36661BB71F9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5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68CC204E-0A3A-4A03-B8FB-26BFC3D84AF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6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79874AF1-ADF8-480C-9FD7-3432072BC633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7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4517C2E-452C-4E63-B25B-80A883C7430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8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F90E02F-DEE1-4AA7-BBD0-A6A3B9D1D402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79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565BAA3B-BB7D-47E4-B5CD-2EDA5415D8C9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80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5EF97F2-DA11-4003-B32A-3ECD7319F8A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81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9C230D4C-EE79-41F5-B0BC-29FCFDE284C0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82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0364AEE5-C081-4457-8B12-2F9680655DE5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83" name="AutoShape 51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376F804B-FC51-4B8F-B397-26FC3C011C87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84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C52F2598-6C8E-4DA0-ADA4-96C11507FB0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85" name="AutoShape 9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4C3D8E29-01E1-45D3-8109-3D6FEBDF58FD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86" name="AutoShape 1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B91501FF-E1D0-4427-91A9-30B887281BF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001931" cy="238125"/>
    <xdr:sp macro="" textlink="">
      <xdr:nvSpPr>
        <xdr:cNvPr id="2602287" name="AutoShape 45" descr="https://avatars.mds.yandex.net/get-mail-signature/1539903/b8d8a53b9ad0268f265c37bdbedc3b6b/orig">
          <a:extLst>
            <a:ext uri="{FF2B5EF4-FFF2-40B4-BE49-F238E27FC236}">
              <a16:creationId xmlns:a16="http://schemas.microsoft.com/office/drawing/2014/main" id="{A784241E-C752-4631-B44C-8649B6521CC1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00193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88901</xdr:colOff>
      <xdr:row>0</xdr:row>
      <xdr:rowOff>57150</xdr:rowOff>
    </xdr:from>
    <xdr:to>
      <xdr:col>2</xdr:col>
      <xdr:colOff>523875</xdr:colOff>
      <xdr:row>0</xdr:row>
      <xdr:rowOff>495300</xdr:rowOff>
    </xdr:to>
    <xdr:pic>
      <xdr:nvPicPr>
        <xdr:cNvPr id="2" name="Picture 0" descr="logo.png">
          <a:extLst>
            <a:ext uri="{FF2B5EF4-FFF2-40B4-BE49-F238E27FC236}">
              <a16:creationId xmlns:a16="http://schemas.microsoft.com/office/drawing/2014/main" id="{38893E80-0BF1-41A3-962C-3518A5FC3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1" y="57150"/>
          <a:ext cx="1358899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2</xdr:row>
      <xdr:rowOff>373381</xdr:rowOff>
    </xdr:from>
    <xdr:to>
      <xdr:col>1</xdr:col>
      <xdr:colOff>400050</xdr:colOff>
      <xdr:row>2</xdr:row>
      <xdr:rowOff>419100</xdr:rowOff>
    </xdr:to>
    <xdr:sp macro="" textlink="">
      <xdr:nvSpPr>
        <xdr:cNvPr id="3073" name="Picture 0" descr="logo.png">
          <a:extLst>
            <a:ext uri="{FF2B5EF4-FFF2-40B4-BE49-F238E27FC236}">
              <a16:creationId xmlns:a16="http://schemas.microsoft.com/office/drawing/2014/main" id="{F8AA862F-89CE-9322-B544-3C184AF886C9}"/>
            </a:ext>
          </a:extLst>
        </xdr:cNvPr>
        <xdr:cNvSpPr>
          <a:spLocks noChangeAspect="1" noChangeArrowheads="1"/>
        </xdr:cNvSpPr>
      </xdr:nvSpPr>
      <xdr:spPr bwMode="auto">
        <a:xfrm flipV="1">
          <a:off x="28575" y="1154431"/>
          <a:ext cx="838200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2600325</xdr:colOff>
      <xdr:row>11</xdr:row>
      <xdr:rowOff>0</xdr:rowOff>
    </xdr:from>
    <xdr:ext cx="838200" cy="381000"/>
    <xdr:sp macro="" textlink="">
      <xdr:nvSpPr>
        <xdr:cNvPr id="6" name="Picture 0" descr="logo.png">
          <a:extLst>
            <a:ext uri="{FF2B5EF4-FFF2-40B4-BE49-F238E27FC236}">
              <a16:creationId xmlns:a16="http://schemas.microsoft.com/office/drawing/2014/main" id="{5252D8A4-6044-4968-B385-E8AADF5BAA9E}"/>
            </a:ext>
          </a:extLst>
        </xdr:cNvPr>
        <xdr:cNvSpPr>
          <a:spLocks noChangeAspect="1" noChangeArrowheads="1"/>
        </xdr:cNvSpPr>
      </xdr:nvSpPr>
      <xdr:spPr bwMode="auto">
        <a:xfrm>
          <a:off x="3648075" y="53987700"/>
          <a:ext cx="8382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28575</xdr:colOff>
      <xdr:row>11</xdr:row>
      <xdr:rowOff>0</xdr:rowOff>
    </xdr:from>
    <xdr:ext cx="838200" cy="381000"/>
    <xdr:sp macro="" textlink="">
      <xdr:nvSpPr>
        <xdr:cNvPr id="9" name="Picture 0" descr="logo.png">
          <a:extLst>
            <a:ext uri="{FF2B5EF4-FFF2-40B4-BE49-F238E27FC236}">
              <a16:creationId xmlns:a16="http://schemas.microsoft.com/office/drawing/2014/main" id="{63166B6C-CE80-4997-A678-E2D3FAC04128}"/>
            </a:ext>
          </a:extLst>
        </xdr:cNvPr>
        <xdr:cNvSpPr>
          <a:spLocks noChangeAspect="1" noChangeArrowheads="1"/>
        </xdr:cNvSpPr>
      </xdr:nvSpPr>
      <xdr:spPr bwMode="auto">
        <a:xfrm>
          <a:off x="28575" y="58092975"/>
          <a:ext cx="8382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28575</xdr:colOff>
      <xdr:row>11</xdr:row>
      <xdr:rowOff>0</xdr:rowOff>
    </xdr:from>
    <xdr:ext cx="838200" cy="381000"/>
    <xdr:sp macro="" textlink="">
      <xdr:nvSpPr>
        <xdr:cNvPr id="10" name="Picture 0" descr="logo.png">
          <a:extLst>
            <a:ext uri="{FF2B5EF4-FFF2-40B4-BE49-F238E27FC236}">
              <a16:creationId xmlns:a16="http://schemas.microsoft.com/office/drawing/2014/main" id="{48A3B280-2588-4773-AFE6-65416A32F59A}"/>
            </a:ext>
          </a:extLst>
        </xdr:cNvPr>
        <xdr:cNvSpPr>
          <a:spLocks noChangeAspect="1" noChangeArrowheads="1"/>
        </xdr:cNvSpPr>
      </xdr:nvSpPr>
      <xdr:spPr bwMode="auto">
        <a:xfrm>
          <a:off x="28575" y="58092975"/>
          <a:ext cx="8382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0</xdr:rowOff>
    </xdr:from>
    <xdr:to>
      <xdr:col>1</xdr:col>
      <xdr:colOff>695324</xdr:colOff>
      <xdr:row>0</xdr:row>
      <xdr:rowOff>512064</xdr:rowOff>
    </xdr:to>
    <xdr:pic>
      <xdr:nvPicPr>
        <xdr:cNvPr id="2" name="Picture 0" descr="logo.png">
          <a:extLst>
            <a:ext uri="{FF2B5EF4-FFF2-40B4-BE49-F238E27FC236}">
              <a16:creationId xmlns:a16="http://schemas.microsoft.com/office/drawing/2014/main" id="{00000000-0008-0000-1000-0000557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0"/>
          <a:ext cx="1247775" cy="512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2181225</xdr:colOff>
      <xdr:row>0</xdr:row>
      <xdr:rowOff>447674</xdr:rowOff>
    </xdr:to>
    <xdr:pic>
      <xdr:nvPicPr>
        <xdr:cNvPr id="2" name="Picture 0" descr="logo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0"/>
          <a:ext cx="2181225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DUCTION\PPC\NITUMONI%20RAJBONGSHI\New%20folder\OPERATION%20PLANNING%20MIPL%2028%20NO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L NEW"/>
      <sheetName val="BOOKING"/>
      <sheetName val="ORDER BOOK"/>
      <sheetName val="PENDING ORDER"/>
      <sheetName val="Spec Sheet (2)"/>
      <sheetName val="PRINTING PLAN"/>
      <sheetName val="ALL STOCK"/>
      <sheetName val="URGENCY LIST"/>
      <sheetName val="ECL PLAN"/>
      <sheetName val="Sheet2"/>
      <sheetName val="LAM"/>
      <sheetName val="SHRINK PLAN"/>
      <sheetName val="COSTING COPOLY"/>
    </sheetNames>
    <sheetDataSet>
      <sheetData sheetId="0" refreshError="1"/>
      <sheetData sheetId="1" refreshError="1"/>
      <sheetData sheetId="2" refreshError="1"/>
      <sheetData sheetId="3" refreshError="1">
        <row r="2">
          <cell r="G2" t="str">
            <v xml:space="preserve"> </v>
          </cell>
        </row>
        <row r="4">
          <cell r="K4" t="str">
            <v>x</v>
          </cell>
          <cell r="L4" t="str">
            <v>x</v>
          </cell>
          <cell r="M4" t="str">
            <v>x</v>
          </cell>
          <cell r="O4" t="str">
            <v>x</v>
          </cell>
          <cell r="P4" t="str">
            <v>x</v>
          </cell>
          <cell r="Q4" t="str">
            <v>x</v>
          </cell>
          <cell r="R4" t="str">
            <v>x</v>
          </cell>
          <cell r="S4" t="str">
            <v>x</v>
          </cell>
          <cell r="T4" t="str">
            <v>x</v>
          </cell>
          <cell r="U4" t="str">
            <v>x</v>
          </cell>
          <cell r="V4" t="str">
            <v>x</v>
          </cell>
          <cell r="W4" t="str">
            <v>x</v>
          </cell>
          <cell r="X4" t="str">
            <v>x</v>
          </cell>
          <cell r="Y4" t="str">
            <v>x</v>
          </cell>
          <cell r="Z4" t="str">
            <v>x</v>
          </cell>
          <cell r="AA4" t="str">
            <v>x</v>
          </cell>
          <cell r="AB4" t="str">
            <v>x</v>
          </cell>
          <cell r="AC4" t="str">
            <v>x</v>
          </cell>
          <cell r="AD4" t="str">
            <v>x</v>
          </cell>
          <cell r="AE4" t="str">
            <v>x</v>
          </cell>
          <cell r="AF4" t="str">
            <v>x</v>
          </cell>
          <cell r="AG4" t="str">
            <v>x</v>
          </cell>
          <cell r="AH4" t="str">
            <v>x</v>
          </cell>
          <cell r="AI4" t="str">
            <v>x</v>
          </cell>
          <cell r="AJ4" t="str">
            <v>x</v>
          </cell>
          <cell r="AK4" t="str">
            <v>x</v>
          </cell>
          <cell r="AL4" t="str">
            <v>x</v>
          </cell>
          <cell r="AM4" t="str">
            <v>x</v>
          </cell>
          <cell r="AN4" t="str">
            <v>x</v>
          </cell>
          <cell r="AO4" t="str">
            <v>x</v>
          </cell>
        </row>
        <row r="5">
          <cell r="K5" t="str">
            <v>SO24-985</v>
          </cell>
          <cell r="L5" t="str">
            <v>LABEL-RAIL-NEER-1LITER-73MMX256MM[BORLUIT]-[PEARL BOPP]</v>
          </cell>
          <cell r="M5" t="str">
            <v>C24-994</v>
          </cell>
          <cell r="O5" t="str">
            <v>BAL</v>
          </cell>
          <cell r="P5">
            <v>300</v>
          </cell>
          <cell r="Q5">
            <v>1</v>
          </cell>
          <cell r="R5">
            <v>300</v>
          </cell>
          <cell r="S5" t="str">
            <v>KG</v>
          </cell>
          <cell r="T5">
            <v>306</v>
          </cell>
          <cell r="U5">
            <v>16.978776529338326</v>
          </cell>
          <cell r="V5">
            <v>0</v>
          </cell>
          <cell r="W5" t="str">
            <v>KG</v>
          </cell>
          <cell r="X5">
            <v>0</v>
          </cell>
          <cell r="Y5">
            <v>0</v>
          </cell>
          <cell r="Z5">
            <v>306</v>
          </cell>
          <cell r="AA5" t="str">
            <v>KG</v>
          </cell>
          <cell r="AB5">
            <v>16.978776529338326</v>
          </cell>
          <cell r="AC5">
            <v>306</v>
          </cell>
          <cell r="AD5">
            <v>16.978776529338326</v>
          </cell>
          <cell r="AE5">
            <v>0.65700000000000003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</row>
        <row r="6">
          <cell r="K6" t="str">
            <v>SO24-1412</v>
          </cell>
          <cell r="L6" t="str">
            <v>Cozy Snacks 2 in 1( Green Matar+Khatta Meetha)</v>
          </cell>
          <cell r="M6" t="str">
            <v>C24-1561</v>
          </cell>
          <cell r="O6" t="str">
            <v>BAL</v>
          </cell>
          <cell r="P6">
            <v>1000</v>
          </cell>
          <cell r="Q6">
            <v>1</v>
          </cell>
          <cell r="R6">
            <v>1000</v>
          </cell>
          <cell r="S6" t="str">
            <v>KG</v>
          </cell>
          <cell r="T6">
            <v>261.85770750988144</v>
          </cell>
          <cell r="U6">
            <v>21.160218788677291</v>
          </cell>
          <cell r="V6" t="e">
            <v>#N/A</v>
          </cell>
          <cell r="W6" t="str">
            <v>KG</v>
          </cell>
          <cell r="X6">
            <v>0</v>
          </cell>
          <cell r="Y6">
            <v>0</v>
          </cell>
          <cell r="Z6">
            <v>261.85770750988144</v>
          </cell>
          <cell r="AA6" t="str">
            <v>KG</v>
          </cell>
          <cell r="AB6">
            <v>21.160218788677291</v>
          </cell>
          <cell r="AC6">
            <v>261.85770750988144</v>
          </cell>
          <cell r="AD6">
            <v>21.160218788677291</v>
          </cell>
          <cell r="AE6" t="e">
            <v>#N/A</v>
          </cell>
          <cell r="AF6">
            <v>21.160218788677291</v>
          </cell>
          <cell r="AG6" t="e">
            <v>#N/A</v>
          </cell>
          <cell r="AH6" t="e">
            <v>#N/A</v>
          </cell>
          <cell r="AI6">
            <v>0</v>
          </cell>
          <cell r="AJ6">
            <v>0</v>
          </cell>
          <cell r="AK6" t="str">
            <v>Extrusion</v>
          </cell>
          <cell r="AL6">
            <v>673.95191040843213</v>
          </cell>
          <cell r="AM6">
            <v>0</v>
          </cell>
          <cell r="AN6">
            <v>0</v>
          </cell>
          <cell r="AO6">
            <v>0</v>
          </cell>
        </row>
        <row r="7">
          <cell r="K7" t="str">
            <v>SO24-1413</v>
          </cell>
          <cell r="L7" t="str">
            <v>Cozy Snacks 2 in 1( Aloo Bhujia+Bikaneri Bhujia)</v>
          </cell>
          <cell r="M7" t="str">
            <v>C24-1562</v>
          </cell>
          <cell r="O7" t="str">
            <v>BAL</v>
          </cell>
          <cell r="P7">
            <v>1000</v>
          </cell>
          <cell r="Q7">
            <v>1</v>
          </cell>
          <cell r="R7">
            <v>1000</v>
          </cell>
          <cell r="S7" t="str">
            <v>KG</v>
          </cell>
          <cell r="T7">
            <v>261.85770750988144</v>
          </cell>
          <cell r="U7">
            <v>21.160218788677291</v>
          </cell>
          <cell r="V7" t="e">
            <v>#N/A</v>
          </cell>
          <cell r="W7" t="str">
            <v>KG</v>
          </cell>
          <cell r="X7">
            <v>0</v>
          </cell>
          <cell r="Y7">
            <v>0</v>
          </cell>
          <cell r="Z7">
            <v>261.85770750988144</v>
          </cell>
          <cell r="AA7" t="str">
            <v>KG</v>
          </cell>
          <cell r="AB7">
            <v>21.160218788677291</v>
          </cell>
          <cell r="AC7">
            <v>261.85770750988144</v>
          </cell>
          <cell r="AD7">
            <v>21.160218788677291</v>
          </cell>
          <cell r="AE7" t="e">
            <v>#N/A</v>
          </cell>
          <cell r="AF7">
            <v>21.160218788677291</v>
          </cell>
          <cell r="AG7" t="e">
            <v>#N/A</v>
          </cell>
          <cell r="AH7" t="e">
            <v>#N/A</v>
          </cell>
          <cell r="AI7">
            <v>0</v>
          </cell>
          <cell r="AJ7">
            <v>0</v>
          </cell>
          <cell r="AK7" t="str">
            <v>Extrusion</v>
          </cell>
          <cell r="AL7">
            <v>673.95191040843213</v>
          </cell>
          <cell r="AM7">
            <v>0</v>
          </cell>
          <cell r="AN7">
            <v>0</v>
          </cell>
          <cell r="AO7">
            <v>0</v>
          </cell>
        </row>
        <row r="8">
          <cell r="K8" t="str">
            <v>SO24-1649</v>
          </cell>
          <cell r="L8" t="str">
            <v>ITC BINGO MA ACHARI RS 5 248X150 ND(FPSX02464)</v>
          </cell>
          <cell r="M8" t="str">
            <v>C24-1665</v>
          </cell>
          <cell r="O8" t="str">
            <v>BAL</v>
          </cell>
          <cell r="P8">
            <v>34000</v>
          </cell>
          <cell r="Q8">
            <v>1</v>
          </cell>
          <cell r="R8">
            <v>34000</v>
          </cell>
          <cell r="S8" t="str">
            <v>KG</v>
          </cell>
          <cell r="T8">
            <v>9148.412582297</v>
          </cell>
          <cell r="U8">
            <v>516.94708607656673</v>
          </cell>
          <cell r="V8" t="e">
            <v>#N/A</v>
          </cell>
          <cell r="W8" t="str">
            <v>KG</v>
          </cell>
          <cell r="X8">
            <v>9180</v>
          </cell>
          <cell r="Y8">
            <v>518.73198847262256</v>
          </cell>
          <cell r="Z8">
            <v>0</v>
          </cell>
          <cell r="AA8" t="str">
            <v>KG</v>
          </cell>
          <cell r="AB8">
            <v>0</v>
          </cell>
          <cell r="AC8">
            <v>-31.587417703000028</v>
          </cell>
          <cell r="AD8">
            <v>-1.7849023960558306</v>
          </cell>
          <cell r="AE8" t="e">
            <v>#N/A</v>
          </cell>
          <cell r="AF8">
            <v>0</v>
          </cell>
          <cell r="AG8" t="e">
            <v>#N/A</v>
          </cell>
          <cell r="AH8" t="e">
            <v>#N/A</v>
          </cell>
          <cell r="AI8">
            <v>9180</v>
          </cell>
          <cell r="AJ8">
            <v>0</v>
          </cell>
          <cell r="AK8" t="str">
            <v>Extrusion</v>
          </cell>
          <cell r="AL8">
            <v>22453.420921726411</v>
          </cell>
          <cell r="AM8">
            <v>22684</v>
          </cell>
          <cell r="AN8">
            <v>0</v>
          </cell>
          <cell r="AO8">
            <v>22684</v>
          </cell>
        </row>
        <row r="9">
          <cell r="K9" t="str">
            <v>SO24-1712</v>
          </cell>
          <cell r="L9" t="str">
            <v>ASIAN WOW CHOW NON-VEG OUTER MRP-5/-(10/20)NEW</v>
          </cell>
          <cell r="M9" t="str">
            <v>C24-1750</v>
          </cell>
          <cell r="O9" t="str">
            <v>BAL</v>
          </cell>
          <cell r="P9">
            <v>1000</v>
          </cell>
          <cell r="Q9">
            <v>1</v>
          </cell>
          <cell r="R9">
            <v>1000</v>
          </cell>
          <cell r="S9" t="str">
            <v>KG</v>
          </cell>
          <cell r="T9">
            <v>453.55113636363632</v>
          </cell>
          <cell r="U9">
            <v>25.117050331642606</v>
          </cell>
          <cell r="V9" t="e">
            <v>#N/A</v>
          </cell>
          <cell r="W9" t="str">
            <v>KG</v>
          </cell>
          <cell r="X9">
            <v>463</v>
          </cell>
          <cell r="Y9">
            <v>25.640315658313721</v>
          </cell>
          <cell r="Z9">
            <v>0</v>
          </cell>
          <cell r="AA9" t="str">
            <v>KG</v>
          </cell>
          <cell r="AB9">
            <v>0</v>
          </cell>
          <cell r="AC9">
            <v>202.55113636363632</v>
          </cell>
          <cell r="AD9">
            <v>11.217008797653955</v>
          </cell>
          <cell r="AE9" t="e">
            <v>#N/A</v>
          </cell>
          <cell r="AF9">
            <v>0</v>
          </cell>
          <cell r="AG9" t="e">
            <v>#N/A</v>
          </cell>
          <cell r="AH9" t="e">
            <v>#N/A</v>
          </cell>
          <cell r="AI9">
            <v>251</v>
          </cell>
          <cell r="AJ9">
            <v>212</v>
          </cell>
          <cell r="AK9" t="str">
            <v>solv.Less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K10" t="str">
            <v>SO24-1770</v>
          </cell>
          <cell r="L10" t="str">
            <v>Perfetto Daily Pour Instant Coffee 100g</v>
          </cell>
          <cell r="M10" t="str">
            <v>C24-1764</v>
          </cell>
          <cell r="O10" t="str">
            <v>BAL</v>
          </cell>
          <cell r="P10">
            <v>492.29999999999995</v>
          </cell>
          <cell r="Q10">
            <v>5.47</v>
          </cell>
          <cell r="R10">
            <v>90000</v>
          </cell>
          <cell r="S10" t="str">
            <v>NO</v>
          </cell>
          <cell r="T10">
            <v>94.787965217391289</v>
          </cell>
          <cell r="U10">
            <v>5.6021256038647342</v>
          </cell>
          <cell r="V10" t="e">
            <v>#N/A</v>
          </cell>
          <cell r="W10" t="str">
            <v>NO</v>
          </cell>
          <cell r="X10">
            <v>195</v>
          </cell>
          <cell r="Y10">
            <v>11.524822695035462</v>
          </cell>
          <cell r="Z10">
            <v>0</v>
          </cell>
          <cell r="AA10" t="str">
            <v>NO</v>
          </cell>
          <cell r="AB10">
            <v>0</v>
          </cell>
          <cell r="AC10">
            <v>-55.212034782608711</v>
          </cell>
          <cell r="AD10">
            <v>-3.2631226230856214</v>
          </cell>
          <cell r="AE10" t="e">
            <v>#N/A</v>
          </cell>
          <cell r="AF10">
            <v>0</v>
          </cell>
          <cell r="AG10" t="e">
            <v>#N/A</v>
          </cell>
          <cell r="AH10" t="e">
            <v>#N/A</v>
          </cell>
          <cell r="AI10">
            <v>150</v>
          </cell>
          <cell r="AJ10">
            <v>45</v>
          </cell>
          <cell r="AK10" t="str">
            <v>solv.Less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K11" t="str">
            <v>SO24-1813</v>
          </cell>
          <cell r="L11" t="str">
            <v>Plain pouch stand up without zipper(4x4) High GSM</v>
          </cell>
          <cell r="M11" t="str">
            <v>C24-1781</v>
          </cell>
          <cell r="O11" t="str">
            <v>BAL</v>
          </cell>
          <cell r="P11">
            <v>200</v>
          </cell>
          <cell r="Q11">
            <v>1</v>
          </cell>
          <cell r="R11">
            <v>200</v>
          </cell>
          <cell r="S11" t="str">
            <v>KG</v>
          </cell>
          <cell r="T11" t="e">
            <v>#DIV/0!</v>
          </cell>
          <cell r="U11" t="e">
            <v>#DIV/0!</v>
          </cell>
          <cell r="V11" t="e">
            <v>#DIV/0!</v>
          </cell>
          <cell r="W11" t="str">
            <v>KG</v>
          </cell>
          <cell r="X11">
            <v>0</v>
          </cell>
          <cell r="Y11" t="e">
            <v>#DIV/0!</v>
          </cell>
          <cell r="Z11" t="e">
            <v>#DIV/0!</v>
          </cell>
          <cell r="AA11" t="str">
            <v>KG</v>
          </cell>
          <cell r="AB11" t="e">
            <v>#DIV/0!</v>
          </cell>
          <cell r="AC11" t="e">
            <v>#DIV/0!</v>
          </cell>
          <cell r="AD11" t="e">
            <v>#DIV/0!</v>
          </cell>
          <cell r="AE11" t="e">
            <v>#N/A</v>
          </cell>
          <cell r="AF11">
            <v>0</v>
          </cell>
          <cell r="AG11" t="e">
            <v>#N/A</v>
          </cell>
          <cell r="AH11" t="e">
            <v>#N/A</v>
          </cell>
          <cell r="AI11">
            <v>0</v>
          </cell>
          <cell r="AJ11">
            <v>0</v>
          </cell>
          <cell r="AK11">
            <v>0</v>
          </cell>
          <cell r="AL11" t="e">
            <v>#DIV/0!</v>
          </cell>
          <cell r="AM11">
            <v>0</v>
          </cell>
          <cell r="AN11">
            <v>0</v>
          </cell>
          <cell r="AO11">
            <v>0</v>
          </cell>
        </row>
        <row r="12">
          <cell r="K12" t="str">
            <v>SO24-1951</v>
          </cell>
          <cell r="L12" t="str">
            <v>MACME INNER VEG MASALA 30G[12/12/40]</v>
          </cell>
          <cell r="M12" t="str">
            <v>C24-1931</v>
          </cell>
          <cell r="O12" t="str">
            <v>BAL</v>
          </cell>
          <cell r="P12">
            <v>1000</v>
          </cell>
          <cell r="Q12">
            <v>1</v>
          </cell>
          <cell r="R12">
            <v>1000</v>
          </cell>
          <cell r="S12" t="str">
            <v>KG</v>
          </cell>
          <cell r="T12">
            <v>260.42216358839039</v>
          </cell>
          <cell r="U12">
            <v>16.996616863881375</v>
          </cell>
          <cell r="V12" t="e">
            <v>#N/A</v>
          </cell>
          <cell r="W12" t="str">
            <v>KG</v>
          </cell>
          <cell r="X12">
            <v>0</v>
          </cell>
          <cell r="Y12">
            <v>0</v>
          </cell>
          <cell r="Z12">
            <v>260.42216358839039</v>
          </cell>
          <cell r="AA12" t="str">
            <v>KG</v>
          </cell>
          <cell r="AB12">
            <v>16.996616863881375</v>
          </cell>
          <cell r="AC12">
            <v>260.42216358839039</v>
          </cell>
          <cell r="AD12">
            <v>16.996616863881375</v>
          </cell>
          <cell r="AE12" t="e">
            <v>#N/A</v>
          </cell>
          <cell r="AF12">
            <v>0</v>
          </cell>
          <cell r="AG12" t="e">
            <v>#N/A</v>
          </cell>
          <cell r="AH12" t="e">
            <v>#N/A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K13" t="str">
            <v>SO24-1952</v>
          </cell>
          <cell r="L13" t="str">
            <v>Macme 20-20 veg Noodles Rs.5/-</v>
          </cell>
          <cell r="M13" t="str">
            <v>C24-1932</v>
          </cell>
          <cell r="O13" t="str">
            <v>BAL</v>
          </cell>
          <cell r="P13">
            <v>1000</v>
          </cell>
          <cell r="Q13">
            <v>1</v>
          </cell>
          <cell r="R13">
            <v>1000</v>
          </cell>
          <cell r="S13" t="str">
            <v>KG</v>
          </cell>
          <cell r="T13">
            <v>432.13872832369935</v>
          </cell>
          <cell r="U13">
            <v>33.954484821536845</v>
          </cell>
          <cell r="V13" t="e">
            <v>#N/A</v>
          </cell>
          <cell r="W13" t="str">
            <v>KG</v>
          </cell>
          <cell r="X13">
            <v>0</v>
          </cell>
          <cell r="Y13">
            <v>0</v>
          </cell>
          <cell r="Z13">
            <v>432.13872832369935</v>
          </cell>
          <cell r="AA13" t="str">
            <v>KG</v>
          </cell>
          <cell r="AB13">
            <v>33.954484821536845</v>
          </cell>
          <cell r="AC13">
            <v>432.13872832369935</v>
          </cell>
          <cell r="AD13">
            <v>33.954484821536845</v>
          </cell>
          <cell r="AE13" t="e">
            <v>#N/A</v>
          </cell>
          <cell r="AF13">
            <v>0</v>
          </cell>
          <cell r="AG13" t="e">
            <v>#N/A</v>
          </cell>
          <cell r="AH13" t="e">
            <v>#N/A</v>
          </cell>
          <cell r="AI13">
            <v>0</v>
          </cell>
          <cell r="AJ13">
            <v>0</v>
          </cell>
          <cell r="AK13" t="str">
            <v>solv.Less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K14" t="str">
            <v>SO24-1954</v>
          </cell>
          <cell r="L14" t="str">
            <v>MACME VEG MASALA NOODLES 60G(12/25)</v>
          </cell>
          <cell r="M14" t="str">
            <v>C24-1947</v>
          </cell>
          <cell r="O14" t="str">
            <v>BAL</v>
          </cell>
          <cell r="P14">
            <v>500</v>
          </cell>
          <cell r="Q14">
            <v>1</v>
          </cell>
          <cell r="R14">
            <v>500</v>
          </cell>
          <cell r="S14" t="str">
            <v>KG</v>
          </cell>
          <cell r="T14">
            <v>216.06936416184968</v>
          </cell>
          <cell r="U14">
            <v>14.713610089332633</v>
          </cell>
          <cell r="V14" t="e">
            <v>#N/A</v>
          </cell>
          <cell r="W14" t="str">
            <v>KG</v>
          </cell>
          <cell r="X14">
            <v>0</v>
          </cell>
          <cell r="Y14">
            <v>0</v>
          </cell>
          <cell r="Z14">
            <v>216.06936416184968</v>
          </cell>
          <cell r="AA14" t="str">
            <v>KG</v>
          </cell>
          <cell r="AB14">
            <v>14.713610089332633</v>
          </cell>
          <cell r="AC14">
            <v>216.06936416184968</v>
          </cell>
          <cell r="AD14">
            <v>14.713610089332633</v>
          </cell>
          <cell r="AE14" t="e">
            <v>#N/A</v>
          </cell>
          <cell r="AF14">
            <v>0</v>
          </cell>
          <cell r="AG14" t="e">
            <v>#N/A</v>
          </cell>
          <cell r="AH14" t="e">
            <v>#N/A</v>
          </cell>
          <cell r="AI14">
            <v>0</v>
          </cell>
          <cell r="AJ14">
            <v>0</v>
          </cell>
          <cell r="AK14" t="str">
            <v>solv.Less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</row>
        <row r="15">
          <cell r="K15" t="str">
            <v>SO24-1923</v>
          </cell>
          <cell r="L15" t="str">
            <v>FW LAM IND EHC NATBLK 18M 8825 RL0123 (5007839)</v>
          </cell>
          <cell r="M15" t="str">
            <v>C24-1955</v>
          </cell>
          <cell r="O15" t="str">
            <v>BAL</v>
          </cell>
          <cell r="P15">
            <v>300</v>
          </cell>
          <cell r="Q15">
            <v>1</v>
          </cell>
          <cell r="R15">
            <v>300</v>
          </cell>
          <cell r="S15" t="str">
            <v>KG</v>
          </cell>
          <cell r="T15">
            <v>80.581395348837205</v>
          </cell>
          <cell r="U15">
            <v>5.0244042492104501</v>
          </cell>
          <cell r="V15" t="e">
            <v>#N/A</v>
          </cell>
          <cell r="W15" t="str">
            <v>KG</v>
          </cell>
          <cell r="X15">
            <v>0</v>
          </cell>
          <cell r="Y15">
            <v>0</v>
          </cell>
          <cell r="Z15">
            <v>80.581395348837205</v>
          </cell>
          <cell r="AA15" t="str">
            <v>KG</v>
          </cell>
          <cell r="AB15">
            <v>5.0244042492104501</v>
          </cell>
          <cell r="AC15">
            <v>80.581395348837205</v>
          </cell>
          <cell r="AD15">
            <v>5.0244042492104501</v>
          </cell>
          <cell r="AE15" t="e">
            <v>#N/A</v>
          </cell>
          <cell r="AF15">
            <v>0</v>
          </cell>
          <cell r="AG15" t="e">
            <v>#N/A</v>
          </cell>
          <cell r="AH15" t="e">
            <v>#N/A</v>
          </cell>
          <cell r="AI15">
            <v>0</v>
          </cell>
          <cell r="AJ15">
            <v>0</v>
          </cell>
          <cell r="AK15" t="str">
            <v>solv.Less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K16" t="str">
            <v>SO24-1924</v>
          </cell>
          <cell r="L16" t="str">
            <v>FW LAM IND EASY HC BURGUNDY 18ML 8825 (5007932)</v>
          </cell>
          <cell r="M16" t="str">
            <v>C24-1956</v>
          </cell>
          <cell r="O16" t="str">
            <v>BAL</v>
          </cell>
          <cell r="P16">
            <v>300</v>
          </cell>
          <cell r="Q16">
            <v>1</v>
          </cell>
          <cell r="R16">
            <v>300</v>
          </cell>
          <cell r="S16" t="str">
            <v>KG</v>
          </cell>
          <cell r="T16">
            <v>80.581395348837205</v>
          </cell>
          <cell r="U16">
            <v>5.0244042492104501</v>
          </cell>
          <cell r="V16" t="e">
            <v>#N/A</v>
          </cell>
          <cell r="W16" t="str">
            <v>KG</v>
          </cell>
          <cell r="X16">
            <v>0</v>
          </cell>
          <cell r="Y16">
            <v>0</v>
          </cell>
          <cell r="Z16">
            <v>80.581395348837205</v>
          </cell>
          <cell r="AA16" t="str">
            <v>KG</v>
          </cell>
          <cell r="AB16">
            <v>5.0244042492104501</v>
          </cell>
          <cell r="AC16">
            <v>80.581395348837205</v>
          </cell>
          <cell r="AD16">
            <v>5.0244042492104501</v>
          </cell>
          <cell r="AE16" t="e">
            <v>#N/A</v>
          </cell>
          <cell r="AF16">
            <v>0</v>
          </cell>
          <cell r="AG16" t="e">
            <v>#N/A</v>
          </cell>
          <cell r="AH16" t="e">
            <v>#N/A</v>
          </cell>
          <cell r="AI16">
            <v>0</v>
          </cell>
          <cell r="AJ16">
            <v>0</v>
          </cell>
          <cell r="AK16" t="str">
            <v>solv.Less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K17" t="str">
            <v>SO24-1925</v>
          </cell>
          <cell r="L17" t="str">
            <v>FW LAM IND EASY HC DRKBROWN 18ML 8825 (5007934)</v>
          </cell>
          <cell r="M17" t="str">
            <v>C24-1957</v>
          </cell>
          <cell r="O17" t="str">
            <v>BAL</v>
          </cell>
          <cell r="P17">
            <v>300</v>
          </cell>
          <cell r="Q17">
            <v>1</v>
          </cell>
          <cell r="R17">
            <v>300</v>
          </cell>
          <cell r="S17" t="str">
            <v>KG</v>
          </cell>
          <cell r="T17">
            <v>80.581395348837205</v>
          </cell>
          <cell r="U17">
            <v>5.0244042492104501</v>
          </cell>
          <cell r="V17" t="e">
            <v>#N/A</v>
          </cell>
          <cell r="W17" t="str">
            <v>KG</v>
          </cell>
          <cell r="X17">
            <v>0</v>
          </cell>
          <cell r="Y17">
            <v>0</v>
          </cell>
          <cell r="Z17">
            <v>80.581395348837205</v>
          </cell>
          <cell r="AA17" t="str">
            <v>KG</v>
          </cell>
          <cell r="AB17">
            <v>5.0244042492104501</v>
          </cell>
          <cell r="AC17">
            <v>80.581395348837205</v>
          </cell>
          <cell r="AD17">
            <v>5.0244042492104501</v>
          </cell>
          <cell r="AE17" t="e">
            <v>#N/A</v>
          </cell>
          <cell r="AF17">
            <v>0</v>
          </cell>
          <cell r="AG17" t="e">
            <v>#N/A</v>
          </cell>
          <cell r="AH17" t="e">
            <v>#N/A</v>
          </cell>
          <cell r="AI17">
            <v>0</v>
          </cell>
          <cell r="AJ17">
            <v>0</v>
          </cell>
          <cell r="AK17" t="str">
            <v>solv.Less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K18" t="str">
            <v>SO24-1174</v>
          </cell>
          <cell r="L18" t="str">
            <v>ITC BINGO TMMRs550%245X161PET (FPSX02660)</v>
          </cell>
          <cell r="M18" t="str">
            <v>C24-1992</v>
          </cell>
          <cell r="O18" t="str">
            <v>BAL</v>
          </cell>
          <cell r="P18">
            <v>150000</v>
          </cell>
          <cell r="Q18">
            <v>1</v>
          </cell>
          <cell r="R18">
            <v>150000</v>
          </cell>
          <cell r="S18" t="str">
            <v>KG</v>
          </cell>
          <cell r="T18">
            <v>36427.95055051188</v>
          </cell>
          <cell r="U18">
            <v>3084.8269758028482</v>
          </cell>
          <cell r="V18" t="e">
            <v>#N/A</v>
          </cell>
          <cell r="W18" t="str">
            <v>KG</v>
          </cell>
          <cell r="X18">
            <v>36175</v>
          </cell>
          <cell r="Y18">
            <v>3063.4063723933527</v>
          </cell>
          <cell r="Z18">
            <v>252.95055051187956</v>
          </cell>
          <cell r="AA18" t="str">
            <v>KG</v>
          </cell>
          <cell r="AB18">
            <v>21.42060340949547</v>
          </cell>
          <cell r="AC18">
            <v>395.95055051187956</v>
          </cell>
          <cell r="AD18">
            <v>33.530267853234221</v>
          </cell>
          <cell r="AE18" t="e">
            <v>#N/A</v>
          </cell>
          <cell r="AF18">
            <v>21.42060340949547</v>
          </cell>
          <cell r="AG18" t="e">
            <v>#N/A</v>
          </cell>
          <cell r="AH18" t="e">
            <v>#N/A</v>
          </cell>
          <cell r="AI18">
            <v>36032</v>
          </cell>
          <cell r="AJ18">
            <v>143</v>
          </cell>
          <cell r="AK18" t="str">
            <v>Extrusion</v>
          </cell>
          <cell r="AL18">
            <v>100772.73227738072</v>
          </cell>
          <cell r="AM18">
            <v>100869</v>
          </cell>
          <cell r="AN18">
            <v>75720</v>
          </cell>
          <cell r="AO18">
            <v>25149</v>
          </cell>
        </row>
        <row r="19">
          <cell r="K19" t="str">
            <v>SO24-865</v>
          </cell>
          <cell r="L19" t="str">
            <v>ITC BINGO TM Xtra Teekha 5 50% 245x161(FPSX02690)</v>
          </cell>
          <cell r="M19" t="str">
            <v>C24-2008</v>
          </cell>
          <cell r="O19" t="str">
            <v>BAL</v>
          </cell>
          <cell r="P19">
            <v>20000</v>
          </cell>
          <cell r="Q19">
            <v>1</v>
          </cell>
          <cell r="R19">
            <v>20000</v>
          </cell>
          <cell r="S19" t="str">
            <v>KG</v>
          </cell>
          <cell r="T19">
            <v>4732.1428571428569</v>
          </cell>
          <cell r="U19">
            <v>409.44346590031211</v>
          </cell>
          <cell r="V19" t="e">
            <v>#N/A</v>
          </cell>
          <cell r="W19" t="str">
            <v>KG</v>
          </cell>
          <cell r="X19">
            <v>2377</v>
          </cell>
          <cell r="Y19">
            <v>205.66731559593339</v>
          </cell>
          <cell r="Z19">
            <v>2355.1428571428569</v>
          </cell>
          <cell r="AA19" t="str">
            <v>KG</v>
          </cell>
          <cell r="AB19">
            <v>203.77615030437872</v>
          </cell>
          <cell r="AC19">
            <v>2454.1428571428569</v>
          </cell>
          <cell r="AD19">
            <v>212.34201662494979</v>
          </cell>
          <cell r="AE19" t="e">
            <v>#N/A</v>
          </cell>
          <cell r="AF19">
            <v>203.77615030437872</v>
          </cell>
          <cell r="AG19" t="e">
            <v>#N/A</v>
          </cell>
          <cell r="AH19" t="e">
            <v>#N/A</v>
          </cell>
          <cell r="AI19">
            <v>2278</v>
          </cell>
          <cell r="AJ19">
            <v>99</v>
          </cell>
          <cell r="AK19" t="str">
            <v>Extrusion</v>
          </cell>
          <cell r="AL19">
            <v>13311.517857142857</v>
          </cell>
          <cell r="AM19">
            <v>6450</v>
          </cell>
          <cell r="AN19">
            <v>6450</v>
          </cell>
          <cell r="AO19">
            <v>0</v>
          </cell>
        </row>
        <row r="20">
          <cell r="K20" t="str">
            <v>SO24-1872</v>
          </cell>
          <cell r="L20" t="str">
            <v>Perfetto First Kaapi 3in1 Coffee Premix</v>
          </cell>
          <cell r="M20" t="str">
            <v>C24-2014</v>
          </cell>
          <cell r="O20" t="str">
            <v>BAL</v>
          </cell>
          <cell r="P20">
            <v>500</v>
          </cell>
          <cell r="Q20">
            <v>1</v>
          </cell>
          <cell r="R20">
            <v>500</v>
          </cell>
          <cell r="S20" t="str">
            <v>KG</v>
          </cell>
          <cell r="T20">
            <v>87.584378013500469</v>
          </cell>
          <cell r="U20">
            <v>7.5002678667095246</v>
          </cell>
          <cell r="V20" t="e">
            <v>#N/A</v>
          </cell>
          <cell r="W20" t="str">
            <v>KG</v>
          </cell>
          <cell r="X20">
            <v>100</v>
          </cell>
          <cell r="Y20">
            <v>8.5634767715692579</v>
          </cell>
          <cell r="Z20">
            <v>0</v>
          </cell>
          <cell r="AA20" t="str">
            <v>KG</v>
          </cell>
          <cell r="AB20">
            <v>0</v>
          </cell>
          <cell r="AC20">
            <v>-12.415621986499531</v>
          </cell>
          <cell r="AD20">
            <v>-1.0632089048597331</v>
          </cell>
          <cell r="AE20" t="e">
            <v>#N/A</v>
          </cell>
          <cell r="AF20">
            <v>0</v>
          </cell>
          <cell r="AG20" t="e">
            <v>#N/A</v>
          </cell>
          <cell r="AH20" t="e">
            <v>#N/A</v>
          </cell>
          <cell r="AI20">
            <v>100</v>
          </cell>
          <cell r="AJ20">
            <v>0</v>
          </cell>
          <cell r="AK20" t="str">
            <v>solv.Less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K21" t="str">
            <v>SO24-2100</v>
          </cell>
          <cell r="L21" t="str">
            <v>PLAIN OFFICE POUCH 1KG-(silver)[160PW/400PL]</v>
          </cell>
          <cell r="M21" t="str">
            <v>C24-2088</v>
          </cell>
          <cell r="O21" t="str">
            <v>BAL</v>
          </cell>
          <cell r="P21">
            <v>400</v>
          </cell>
          <cell r="Q21">
            <v>1</v>
          </cell>
          <cell r="R21">
            <v>400</v>
          </cell>
          <cell r="S21" t="str">
            <v>KG</v>
          </cell>
          <cell r="T21">
            <v>0</v>
          </cell>
          <cell r="U21">
            <v>0</v>
          </cell>
          <cell r="V21">
            <v>0</v>
          </cell>
          <cell r="W21" t="str">
            <v>KG</v>
          </cell>
          <cell r="X21">
            <v>0</v>
          </cell>
          <cell r="Y21">
            <v>0</v>
          </cell>
          <cell r="Z21">
            <v>0</v>
          </cell>
          <cell r="AA21" t="str">
            <v>KG</v>
          </cell>
          <cell r="AB21">
            <v>0</v>
          </cell>
          <cell r="AC21">
            <v>0</v>
          </cell>
          <cell r="AD21">
            <v>0</v>
          </cell>
          <cell r="AE21">
            <v>0.88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</row>
        <row r="22">
          <cell r="K22" t="str">
            <v>SO24-2118</v>
          </cell>
          <cell r="L22" t="str">
            <v>UPAZ  1kg</v>
          </cell>
          <cell r="M22" t="str">
            <v>C24-2100</v>
          </cell>
          <cell r="O22" t="str">
            <v>BAL</v>
          </cell>
          <cell r="P22">
            <v>500</v>
          </cell>
          <cell r="Q22">
            <v>1</v>
          </cell>
          <cell r="R22">
            <v>500</v>
          </cell>
          <cell r="S22" t="str">
            <v>KG</v>
          </cell>
          <cell r="T22">
            <v>106.36363636363635</v>
          </cell>
          <cell r="U22">
            <v>6.7571079577940631</v>
          </cell>
          <cell r="V22">
            <v>0</v>
          </cell>
          <cell r="W22" t="str">
            <v>KG</v>
          </cell>
          <cell r="X22">
            <v>0</v>
          </cell>
          <cell r="Y22">
            <v>0</v>
          </cell>
          <cell r="Z22">
            <v>106.36363636363635</v>
          </cell>
          <cell r="AA22" t="str">
            <v>KG</v>
          </cell>
          <cell r="AB22">
            <v>6.7571079577940631</v>
          </cell>
          <cell r="AC22">
            <v>106.36363636363635</v>
          </cell>
          <cell r="AD22">
            <v>6.7571079577940631</v>
          </cell>
          <cell r="AE22">
            <v>0.78</v>
          </cell>
          <cell r="AF22">
            <v>0</v>
          </cell>
          <cell r="AG22">
            <v>13.514215915588126</v>
          </cell>
          <cell r="AH22">
            <v>0</v>
          </cell>
          <cell r="AI22">
            <v>0</v>
          </cell>
          <cell r="AJ22">
            <v>0</v>
          </cell>
          <cell r="AK22" t="str">
            <v>Solv.Base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K23" t="str">
            <v>SO24-2127</v>
          </cell>
          <cell r="L23" t="str">
            <v>ITC A.Atta 5kg Mic per (CL No2-10;13;22;26;28;30;31;34;38:39)(FPAT01668)R2</v>
          </cell>
          <cell r="M23" t="str">
            <v>C24-2135</v>
          </cell>
          <cell r="O23" t="str">
            <v>BAL</v>
          </cell>
          <cell r="P23">
            <v>10000</v>
          </cell>
          <cell r="Q23">
            <v>1</v>
          </cell>
          <cell r="R23">
            <v>10000</v>
          </cell>
          <cell r="S23" t="str">
            <v>KG</v>
          </cell>
          <cell r="T23">
            <v>2684.3229028444593</v>
          </cell>
          <cell r="U23">
            <v>184.96626376189212</v>
          </cell>
          <cell r="V23" t="e">
            <v>#N/A</v>
          </cell>
          <cell r="W23" t="str">
            <v>KG</v>
          </cell>
          <cell r="X23">
            <v>2717</v>
          </cell>
          <cell r="Y23">
            <v>187.2179155900086</v>
          </cell>
          <cell r="Z23">
            <v>0</v>
          </cell>
          <cell r="AA23" t="str">
            <v>KG</v>
          </cell>
          <cell r="AB23">
            <v>0</v>
          </cell>
          <cell r="AC23">
            <v>1137.3229028444593</v>
          </cell>
          <cell r="AD23">
            <v>78.368503210643198</v>
          </cell>
          <cell r="AE23" t="e">
            <v>#N/A</v>
          </cell>
          <cell r="AF23">
            <v>0</v>
          </cell>
          <cell r="AG23" t="e">
            <v>#N/A</v>
          </cell>
          <cell r="AH23" t="e">
            <v>#N/A</v>
          </cell>
          <cell r="AI23">
            <v>1547</v>
          </cell>
          <cell r="AJ23">
            <v>1170</v>
          </cell>
          <cell r="AK23" t="str">
            <v>solv.Less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</row>
        <row r="24">
          <cell r="K24" t="str">
            <v>TSO24-49</v>
          </cell>
          <cell r="L24" t="str">
            <v>MEERA AD SHAMPOO 2RS 1025 INKRM (5009574)</v>
          </cell>
          <cell r="M24" t="str">
            <v>C24-2145</v>
          </cell>
          <cell r="O24" t="str">
            <v>BAL</v>
          </cell>
          <cell r="P24">
            <v>30</v>
          </cell>
          <cell r="Q24">
            <v>1</v>
          </cell>
          <cell r="R24">
            <v>30</v>
          </cell>
          <cell r="S24" t="str">
            <v>KG</v>
          </cell>
          <cell r="T24">
            <v>8.8111888111888099</v>
          </cell>
          <cell r="U24">
            <v>0.52447552447552437</v>
          </cell>
          <cell r="V24" t="e">
            <v>#N/A</v>
          </cell>
          <cell r="W24" t="str">
            <v>KG</v>
          </cell>
          <cell r="X24">
            <v>116</v>
          </cell>
          <cell r="Y24">
            <v>6.9047619047619042</v>
          </cell>
          <cell r="Z24">
            <v>0</v>
          </cell>
          <cell r="AA24" t="str">
            <v>KG</v>
          </cell>
          <cell r="AB24">
            <v>0</v>
          </cell>
          <cell r="AC24">
            <v>8.8111888111888099</v>
          </cell>
          <cell r="AD24">
            <v>0.52447552447552437</v>
          </cell>
          <cell r="AE24" t="e">
            <v>#N/A</v>
          </cell>
          <cell r="AF24">
            <v>0</v>
          </cell>
          <cell r="AG24" t="e">
            <v>#N/A</v>
          </cell>
          <cell r="AH24" t="e">
            <v>#N/A</v>
          </cell>
          <cell r="AI24">
            <v>0</v>
          </cell>
          <cell r="AJ24">
            <v>116</v>
          </cell>
          <cell r="AK24" t="str">
            <v>solv.Less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K25" t="str">
            <v>TSO24-50</v>
          </cell>
          <cell r="L25" t="str">
            <v>MEERA HFC SHAMPOO 2RS 1025 INKRM (5009572)</v>
          </cell>
          <cell r="M25" t="str">
            <v>C24-2146</v>
          </cell>
          <cell r="O25" t="str">
            <v>BAL</v>
          </cell>
          <cell r="P25">
            <v>30</v>
          </cell>
          <cell r="Q25">
            <v>1</v>
          </cell>
          <cell r="R25">
            <v>30</v>
          </cell>
          <cell r="S25" t="str">
            <v>KG</v>
          </cell>
          <cell r="T25">
            <v>8.8111888111888099</v>
          </cell>
          <cell r="U25">
            <v>0.52447552447552437</v>
          </cell>
          <cell r="V25" t="e">
            <v>#N/A</v>
          </cell>
          <cell r="W25" t="str">
            <v>KG</v>
          </cell>
          <cell r="X25">
            <v>70</v>
          </cell>
          <cell r="Y25">
            <v>4.1666666666666661</v>
          </cell>
          <cell r="Z25">
            <v>0</v>
          </cell>
          <cell r="AA25" t="str">
            <v>KG</v>
          </cell>
          <cell r="AB25">
            <v>0</v>
          </cell>
          <cell r="AC25">
            <v>8.8111888111888099</v>
          </cell>
          <cell r="AD25">
            <v>0.52447552447552437</v>
          </cell>
          <cell r="AE25" t="e">
            <v>#N/A</v>
          </cell>
          <cell r="AF25">
            <v>0</v>
          </cell>
          <cell r="AG25" t="e">
            <v>#N/A</v>
          </cell>
          <cell r="AH25" t="e">
            <v>#N/A</v>
          </cell>
          <cell r="AI25">
            <v>0</v>
          </cell>
          <cell r="AJ25">
            <v>70</v>
          </cell>
          <cell r="AK25" t="str">
            <v>solv.Less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K26" t="str">
            <v>SO24-2190</v>
          </cell>
          <cell r="L26" t="str">
            <v>PTD-POUCH 250 GM -GREEN [105-wX255-Lx55*2-G][CW-320mm]</v>
          </cell>
          <cell r="M26" t="str">
            <v>C24-2169</v>
          </cell>
          <cell r="O26" t="str">
            <v>BAL</v>
          </cell>
          <cell r="P26">
            <v>100</v>
          </cell>
          <cell r="Q26">
            <v>1</v>
          </cell>
          <cell r="R26">
            <v>100</v>
          </cell>
          <cell r="S26" t="str">
            <v>KG</v>
          </cell>
          <cell r="T26">
            <v>19.809677419354834</v>
          </cell>
          <cell r="U26">
            <v>1.6990888943609948</v>
          </cell>
          <cell r="V26">
            <v>166.15554911826155</v>
          </cell>
          <cell r="W26" t="str">
            <v>KG</v>
          </cell>
          <cell r="X26">
            <v>23</v>
          </cell>
          <cell r="Y26">
            <v>1.972724933527747</v>
          </cell>
          <cell r="Z26">
            <v>0</v>
          </cell>
          <cell r="AA26" t="str">
            <v>KG</v>
          </cell>
          <cell r="AB26">
            <v>0</v>
          </cell>
          <cell r="AC26">
            <v>19.809677419354834</v>
          </cell>
          <cell r="AD26">
            <v>1.6990888943609948</v>
          </cell>
          <cell r="AE26">
            <v>0.96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23</v>
          </cell>
          <cell r="AK26" t="str">
            <v>solv.Less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</row>
        <row r="27">
          <cell r="K27" t="str">
            <v>SO24-2191</v>
          </cell>
          <cell r="L27" t="str">
            <v>K Seal Stand up pouch 100g- (With Zipper) (CW-320mm)(8.5cmx13.5cmx2.5cm)</v>
          </cell>
          <cell r="M27" t="str">
            <v>C24-2170</v>
          </cell>
          <cell r="O27" t="str">
            <v>BAL</v>
          </cell>
          <cell r="P27">
            <v>200</v>
          </cell>
          <cell r="Q27">
            <v>1</v>
          </cell>
          <cell r="R27">
            <v>200</v>
          </cell>
          <cell r="S27" t="str">
            <v>KG</v>
          </cell>
          <cell r="T27">
            <v>28.979999999999997</v>
          </cell>
          <cell r="U27">
            <v>1.7692307692307694</v>
          </cell>
          <cell r="V27">
            <v>0</v>
          </cell>
          <cell r="W27" t="str">
            <v>KG</v>
          </cell>
          <cell r="X27">
            <v>0</v>
          </cell>
          <cell r="Y27">
            <v>0</v>
          </cell>
          <cell r="Z27">
            <v>28.979999999999997</v>
          </cell>
          <cell r="AA27" t="str">
            <v>KG</v>
          </cell>
          <cell r="AB27">
            <v>1.7692307692307694</v>
          </cell>
          <cell r="AC27">
            <v>28.979999999999997</v>
          </cell>
          <cell r="AD27">
            <v>1.7692307692307694</v>
          </cell>
          <cell r="AE27">
            <v>0.96</v>
          </cell>
          <cell r="AF27">
            <v>0</v>
          </cell>
          <cell r="AG27">
            <v>0</v>
          </cell>
          <cell r="AH27">
            <v>1.7692307692307694</v>
          </cell>
          <cell r="AI27">
            <v>0</v>
          </cell>
          <cell r="AJ27">
            <v>0</v>
          </cell>
          <cell r="AK27" t="str">
            <v>solv.Less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</row>
        <row r="28">
          <cell r="K28" t="str">
            <v>SO24-2192</v>
          </cell>
          <cell r="L28" t="str">
            <v>K Seal Standup Pouch 200g,(With Zipper)(CW-370mm)[10cmX16cmX2.5cm]</v>
          </cell>
          <cell r="M28" t="str">
            <v>C24-2171</v>
          </cell>
          <cell r="O28" t="str">
            <v>BAL</v>
          </cell>
          <cell r="P28">
            <v>200</v>
          </cell>
          <cell r="Q28">
            <v>1</v>
          </cell>
          <cell r="R28">
            <v>200</v>
          </cell>
          <cell r="S28" t="str">
            <v>KG</v>
          </cell>
          <cell r="T28">
            <v>29.028380634390647</v>
          </cell>
          <cell r="U28">
            <v>1.5358931552587647</v>
          </cell>
          <cell r="V28">
            <v>0</v>
          </cell>
          <cell r="W28" t="str">
            <v>KG</v>
          </cell>
          <cell r="X28">
            <v>0</v>
          </cell>
          <cell r="Y28">
            <v>0</v>
          </cell>
          <cell r="Z28">
            <v>29.028380634390647</v>
          </cell>
          <cell r="AA28" t="str">
            <v>KG</v>
          </cell>
          <cell r="AB28">
            <v>1.5358931552587647</v>
          </cell>
          <cell r="AC28">
            <v>29.028380634390647</v>
          </cell>
          <cell r="AD28">
            <v>1.5358931552587647</v>
          </cell>
          <cell r="AE28">
            <v>1.1100000000000001</v>
          </cell>
          <cell r="AF28">
            <v>0</v>
          </cell>
          <cell r="AG28">
            <v>0</v>
          </cell>
          <cell r="AH28">
            <v>1.5358931552587647</v>
          </cell>
          <cell r="AI28">
            <v>0</v>
          </cell>
          <cell r="AJ28">
            <v>0</v>
          </cell>
          <cell r="AK28" t="str">
            <v>solv.Less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K29" t="str">
            <v>SO24-2193</v>
          </cell>
          <cell r="L29" t="str">
            <v>K Seal Standup Pouch 250gm(With Zipper) (CW-480mm)[10.5cmx20.5cmx3.5cm]</v>
          </cell>
          <cell r="M29" t="str">
            <v>C24-2172</v>
          </cell>
          <cell r="O29" t="str">
            <v>BAL</v>
          </cell>
          <cell r="P29">
            <v>200</v>
          </cell>
          <cell r="Q29">
            <v>1</v>
          </cell>
          <cell r="R29">
            <v>200</v>
          </cell>
          <cell r="S29" t="str">
            <v>KG</v>
          </cell>
          <cell r="T29">
            <v>28.859751037344395</v>
          </cell>
          <cell r="U29">
            <v>1.7618895627194384</v>
          </cell>
          <cell r="V29">
            <v>0</v>
          </cell>
          <cell r="W29" t="str">
            <v>KG</v>
          </cell>
          <cell r="X29">
            <v>0</v>
          </cell>
          <cell r="Y29">
            <v>0</v>
          </cell>
          <cell r="Z29">
            <v>28.859751037344395</v>
          </cell>
          <cell r="AA29" t="str">
            <v>KG</v>
          </cell>
          <cell r="AB29">
            <v>1.7618895627194384</v>
          </cell>
          <cell r="AC29">
            <v>28.859751037344395</v>
          </cell>
          <cell r="AD29">
            <v>1.7618895627194384</v>
          </cell>
          <cell r="AE29">
            <v>0.96</v>
          </cell>
          <cell r="AF29">
            <v>0</v>
          </cell>
          <cell r="AG29">
            <v>0</v>
          </cell>
          <cell r="AH29">
            <v>1.7618895627194384</v>
          </cell>
          <cell r="AI29">
            <v>0</v>
          </cell>
          <cell r="AJ29">
            <v>0</v>
          </cell>
          <cell r="AK29" t="str">
            <v>solv.Less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</row>
        <row r="30">
          <cell r="K30" t="str">
            <v>SO24-2194</v>
          </cell>
          <cell r="L30" t="str">
            <v>K Seal Stand up pouch 100g-(Without Zipper)(CW-320mm) (8.5cmx13.5cmx2.5cm)</v>
          </cell>
          <cell r="M30" t="str">
            <v>C24-2173</v>
          </cell>
          <cell r="O30" t="str">
            <v>BAL</v>
          </cell>
          <cell r="P30">
            <v>200</v>
          </cell>
          <cell r="Q30">
            <v>1</v>
          </cell>
          <cell r="R30">
            <v>200</v>
          </cell>
          <cell r="S30" t="str">
            <v>KG</v>
          </cell>
          <cell r="T30">
            <v>28.979999999999997</v>
          </cell>
          <cell r="U30">
            <v>1.7692307692307694</v>
          </cell>
          <cell r="V30">
            <v>0</v>
          </cell>
          <cell r="W30" t="str">
            <v>KG</v>
          </cell>
          <cell r="X30">
            <v>0</v>
          </cell>
          <cell r="Y30">
            <v>0</v>
          </cell>
          <cell r="Z30">
            <v>28.979999999999997</v>
          </cell>
          <cell r="AA30" t="str">
            <v>KG</v>
          </cell>
          <cell r="AB30">
            <v>1.7692307692307694</v>
          </cell>
          <cell r="AC30">
            <v>28.979999999999997</v>
          </cell>
          <cell r="AD30">
            <v>1.7692307692307694</v>
          </cell>
          <cell r="AE30">
            <v>0.96</v>
          </cell>
          <cell r="AF30">
            <v>0</v>
          </cell>
          <cell r="AG30">
            <v>0</v>
          </cell>
          <cell r="AH30">
            <v>1.7692307692307694</v>
          </cell>
          <cell r="AI30">
            <v>0</v>
          </cell>
          <cell r="AJ30">
            <v>0</v>
          </cell>
          <cell r="AK30" t="str">
            <v>solv.Less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K31" t="str">
            <v>SO24-2195</v>
          </cell>
          <cell r="L31" t="str">
            <v>K Seal Standup Pouch 250gm (Without Zipper)-(CW-480mm)[10.5cmx20.5cmx3.5cm]</v>
          </cell>
          <cell r="M31" t="str">
            <v>C24-2174</v>
          </cell>
          <cell r="O31" t="str">
            <v>BAL</v>
          </cell>
          <cell r="P31">
            <v>100</v>
          </cell>
          <cell r="Q31">
            <v>1</v>
          </cell>
          <cell r="R31">
            <v>100</v>
          </cell>
          <cell r="S31" t="str">
            <v>KG</v>
          </cell>
          <cell r="T31">
            <v>14.429875518672198</v>
          </cell>
          <cell r="U31">
            <v>0.88094478135971921</v>
          </cell>
          <cell r="V31">
            <v>0</v>
          </cell>
          <cell r="W31" t="str">
            <v>KG</v>
          </cell>
          <cell r="X31">
            <v>0</v>
          </cell>
          <cell r="Y31">
            <v>0</v>
          </cell>
          <cell r="Z31">
            <v>14.429875518672198</v>
          </cell>
          <cell r="AA31" t="str">
            <v>KG</v>
          </cell>
          <cell r="AB31">
            <v>0.88094478135971921</v>
          </cell>
          <cell r="AC31">
            <v>14.429875518672198</v>
          </cell>
          <cell r="AD31">
            <v>0.88094478135971921</v>
          </cell>
          <cell r="AE31">
            <v>0.96</v>
          </cell>
          <cell r="AF31">
            <v>0</v>
          </cell>
          <cell r="AG31">
            <v>0</v>
          </cell>
          <cell r="AH31">
            <v>0.88094478135971921</v>
          </cell>
          <cell r="AI31">
            <v>0</v>
          </cell>
          <cell r="AJ31">
            <v>0</v>
          </cell>
          <cell r="AK31" t="str">
            <v>solv.Less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K32" t="str">
            <v>SO24-2196</v>
          </cell>
          <cell r="L32" t="str">
            <v>PTD.Standup Pouch(With- ZIP)250gm-BLACK matt[125x205x35*2]</v>
          </cell>
          <cell r="M32" t="str">
            <v>C24-2175</v>
          </cell>
          <cell r="O32" t="str">
            <v>BAL</v>
          </cell>
          <cell r="P32">
            <v>100</v>
          </cell>
          <cell r="Q32">
            <v>1</v>
          </cell>
          <cell r="R32">
            <v>100</v>
          </cell>
          <cell r="S32" t="str">
            <v>KG</v>
          </cell>
          <cell r="T32">
            <v>15.117147707979626</v>
          </cell>
          <cell r="U32">
            <v>1.8363882055368839</v>
          </cell>
          <cell r="V32">
            <v>0</v>
          </cell>
          <cell r="W32" t="str">
            <v>KG</v>
          </cell>
          <cell r="X32">
            <v>0</v>
          </cell>
          <cell r="Y32">
            <v>0</v>
          </cell>
          <cell r="Z32">
            <v>15.117147707979626</v>
          </cell>
          <cell r="AA32" t="str">
            <v>KG</v>
          </cell>
          <cell r="AB32">
            <v>1.8363882055368839</v>
          </cell>
          <cell r="AC32">
            <v>15.117147707979626</v>
          </cell>
          <cell r="AD32">
            <v>1.8363882055368839</v>
          </cell>
          <cell r="AE32">
            <v>0.48</v>
          </cell>
          <cell r="AF32">
            <v>0</v>
          </cell>
          <cell r="AG32">
            <v>3.6727764110737677</v>
          </cell>
          <cell r="AH32">
            <v>0</v>
          </cell>
          <cell r="AI32">
            <v>0</v>
          </cell>
          <cell r="AJ32">
            <v>0</v>
          </cell>
          <cell r="AK32" t="str">
            <v>Solv.Base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K33" t="str">
            <v>SO24-2200</v>
          </cell>
          <cell r="L33" t="str">
            <v>PTD.Standup Pouch(With ZIP)500gm-BLACK matt[160x230x45*2]</v>
          </cell>
          <cell r="M33" t="str">
            <v>C24-2178</v>
          </cell>
          <cell r="O33" t="str">
            <v>BAL</v>
          </cell>
          <cell r="P33">
            <v>150</v>
          </cell>
          <cell r="Q33">
            <v>1</v>
          </cell>
          <cell r="R33">
            <v>150</v>
          </cell>
          <cell r="S33" t="str">
            <v>KG</v>
          </cell>
          <cell r="T33">
            <v>24.266666666666669</v>
          </cell>
          <cell r="U33">
            <v>2.3809523809523814</v>
          </cell>
          <cell r="V33">
            <v>0</v>
          </cell>
          <cell r="W33" t="str">
            <v>KG</v>
          </cell>
          <cell r="X33">
            <v>0</v>
          </cell>
          <cell r="Y33">
            <v>0</v>
          </cell>
          <cell r="Z33">
            <v>24.266666666666669</v>
          </cell>
          <cell r="AA33" t="str">
            <v>KG</v>
          </cell>
          <cell r="AB33">
            <v>2.3809523809523814</v>
          </cell>
          <cell r="AC33">
            <v>24.266666666666669</v>
          </cell>
          <cell r="AD33">
            <v>2.3809523809523814</v>
          </cell>
          <cell r="AE33">
            <v>0.55000000000000004</v>
          </cell>
          <cell r="AF33">
            <v>0</v>
          </cell>
          <cell r="AG33">
            <v>4.7619047619047628</v>
          </cell>
          <cell r="AH33">
            <v>0</v>
          </cell>
          <cell r="AI33">
            <v>0</v>
          </cell>
          <cell r="AJ33">
            <v>0</v>
          </cell>
          <cell r="AK33" t="str">
            <v>Solv.Base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K34" t="str">
            <v>SO24-2167</v>
          </cell>
          <cell r="L34" t="str">
            <v>Wrapper Wai Wai Rin Tin Noodle Ch (New)4010000355</v>
          </cell>
          <cell r="M34" t="str">
            <v>C24-2181</v>
          </cell>
          <cell r="O34" t="str">
            <v>BAL</v>
          </cell>
          <cell r="P34">
            <v>7000</v>
          </cell>
          <cell r="Q34">
            <v>1</v>
          </cell>
          <cell r="R34">
            <v>7000</v>
          </cell>
          <cell r="S34" t="str">
            <v>KG</v>
          </cell>
          <cell r="T34">
            <v>3244.5682451253483</v>
          </cell>
          <cell r="U34">
            <v>184.35046847303113</v>
          </cell>
          <cell r="V34" t="e">
            <v>#N/A</v>
          </cell>
          <cell r="W34" t="str">
            <v>KG</v>
          </cell>
          <cell r="X34">
            <v>3261</v>
          </cell>
          <cell r="Y34">
            <v>185.28409090909091</v>
          </cell>
          <cell r="Z34">
            <v>0</v>
          </cell>
          <cell r="AA34" t="str">
            <v>KG</v>
          </cell>
          <cell r="AB34">
            <v>0</v>
          </cell>
          <cell r="AC34">
            <v>3244.5682451253483</v>
          </cell>
          <cell r="AD34">
            <v>184.35046847303113</v>
          </cell>
          <cell r="AE34" t="e">
            <v>#N/A</v>
          </cell>
          <cell r="AF34">
            <v>0</v>
          </cell>
          <cell r="AG34" t="e">
            <v>#N/A</v>
          </cell>
          <cell r="AH34" t="e">
            <v>#N/A</v>
          </cell>
          <cell r="AI34">
            <v>0</v>
          </cell>
          <cell r="AJ34">
            <v>3261</v>
          </cell>
          <cell r="AK34" t="str">
            <v>solv.Less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</row>
        <row r="35">
          <cell r="K35" t="str">
            <v>SO24-2168</v>
          </cell>
          <cell r="L35" t="str">
            <v>Wrapper Kwik's Cheese Balls 12gm(4010000307)</v>
          </cell>
          <cell r="M35" t="str">
            <v>C24-2182</v>
          </cell>
          <cell r="O35" t="str">
            <v>BAL</v>
          </cell>
          <cell r="P35">
            <v>8500</v>
          </cell>
          <cell r="Q35">
            <v>1</v>
          </cell>
          <cell r="R35">
            <v>8500</v>
          </cell>
          <cell r="S35" t="str">
            <v>KG</v>
          </cell>
          <cell r="T35">
            <v>2234.9749582637728</v>
          </cell>
          <cell r="U35">
            <v>134.84011814562732</v>
          </cell>
          <cell r="V35" t="e">
            <v>#N/A</v>
          </cell>
          <cell r="W35" t="str">
            <v>KG</v>
          </cell>
          <cell r="X35">
            <v>0</v>
          </cell>
          <cell r="Y35">
            <v>0</v>
          </cell>
          <cell r="Z35">
            <v>2234.9749582637728</v>
          </cell>
          <cell r="AA35" t="str">
            <v>KG</v>
          </cell>
          <cell r="AB35">
            <v>134.84011814562732</v>
          </cell>
          <cell r="AC35">
            <v>2234.9749582637728</v>
          </cell>
          <cell r="AD35">
            <v>134.84011814562732</v>
          </cell>
          <cell r="AE35" t="e">
            <v>#N/A</v>
          </cell>
          <cell r="AF35">
            <v>134.84011814562732</v>
          </cell>
          <cell r="AG35" t="e">
            <v>#N/A</v>
          </cell>
          <cell r="AH35" t="e">
            <v>#N/A</v>
          </cell>
          <cell r="AI35">
            <v>0</v>
          </cell>
          <cell r="AJ35">
            <v>0</v>
          </cell>
          <cell r="AK35" t="str">
            <v>Extrusion</v>
          </cell>
          <cell r="AL35">
            <v>5752.2295492487465</v>
          </cell>
          <cell r="AM35">
            <v>0</v>
          </cell>
          <cell r="AN35">
            <v>0</v>
          </cell>
          <cell r="AO35">
            <v>0</v>
          </cell>
        </row>
        <row r="36">
          <cell r="K36" t="str">
            <v>SO24-1816</v>
          </cell>
          <cell r="L36" t="str">
            <v>Eat Me Banana Chips(Bhoot Jolokia+Plain Salted+Peri Peri)</v>
          </cell>
          <cell r="M36" t="str">
            <v>C24-2187</v>
          </cell>
          <cell r="O36" t="str">
            <v>BAL</v>
          </cell>
          <cell r="P36">
            <v>1000</v>
          </cell>
          <cell r="Q36">
            <v>1</v>
          </cell>
          <cell r="R36">
            <v>1000</v>
          </cell>
          <cell r="S36" t="str">
            <v>KG</v>
          </cell>
          <cell r="T36">
            <v>258.96086813548175</v>
          </cell>
          <cell r="U36">
            <v>19.958448411212469</v>
          </cell>
          <cell r="V36" t="e">
            <v>#N/A</v>
          </cell>
          <cell r="W36" t="str">
            <v>KG</v>
          </cell>
          <cell r="X36">
            <v>0</v>
          </cell>
          <cell r="Y36">
            <v>0</v>
          </cell>
          <cell r="Z36">
            <v>258.96086813548175</v>
          </cell>
          <cell r="AA36" t="str">
            <v>KG</v>
          </cell>
          <cell r="AB36">
            <v>19.958448411212469</v>
          </cell>
          <cell r="AC36">
            <v>258.96086813548175</v>
          </cell>
          <cell r="AD36">
            <v>19.958448411212469</v>
          </cell>
          <cell r="AE36" t="e">
            <v>#N/A</v>
          </cell>
          <cell r="AF36">
            <v>19.958448411212469</v>
          </cell>
          <cell r="AG36" t="e">
            <v>#N/A</v>
          </cell>
          <cell r="AH36" t="e">
            <v>#N/A</v>
          </cell>
          <cell r="AI36">
            <v>0</v>
          </cell>
          <cell r="AJ36">
            <v>0</v>
          </cell>
          <cell r="AK36" t="str">
            <v>Extrusion</v>
          </cell>
          <cell r="AL36">
            <v>666.49621834922732</v>
          </cell>
          <cell r="AM36">
            <v>0</v>
          </cell>
          <cell r="AN36">
            <v>0</v>
          </cell>
          <cell r="AO36">
            <v>0</v>
          </cell>
        </row>
        <row r="37">
          <cell r="K37" t="str">
            <v>SO24-2096</v>
          </cell>
          <cell r="L37" t="str">
            <v>Krishan Payel Chanachur Rs.5/- (Nat Ext)</v>
          </cell>
          <cell r="M37" t="str">
            <v>C24-2191</v>
          </cell>
          <cell r="O37" t="str">
            <v>BAL</v>
          </cell>
          <cell r="P37">
            <v>1000</v>
          </cell>
          <cell r="Q37">
            <v>1</v>
          </cell>
          <cell r="R37">
            <v>1000</v>
          </cell>
          <cell r="S37" t="str">
            <v>KG</v>
          </cell>
          <cell r="T37">
            <v>272.19701879455607</v>
          </cell>
          <cell r="U37">
            <v>19.667414652785844</v>
          </cell>
          <cell r="V37" t="e">
            <v>#N/A</v>
          </cell>
          <cell r="W37" t="str">
            <v>KG</v>
          </cell>
          <cell r="X37">
            <v>0</v>
          </cell>
          <cell r="Y37">
            <v>0</v>
          </cell>
          <cell r="Z37">
            <v>272.19701879455607</v>
          </cell>
          <cell r="AA37" t="str">
            <v>KG</v>
          </cell>
          <cell r="AB37">
            <v>19.667414652785844</v>
          </cell>
          <cell r="AC37">
            <v>272.19701879455607</v>
          </cell>
          <cell r="AD37">
            <v>19.667414652785844</v>
          </cell>
          <cell r="AE37" t="e">
            <v>#N/A</v>
          </cell>
          <cell r="AF37">
            <v>19.667414652785844</v>
          </cell>
          <cell r="AG37" t="e">
            <v>#N/A</v>
          </cell>
          <cell r="AH37" t="e">
            <v>#N/A</v>
          </cell>
          <cell r="AI37">
            <v>0</v>
          </cell>
          <cell r="AJ37">
            <v>0</v>
          </cell>
          <cell r="AK37" t="str">
            <v>Extrusion</v>
          </cell>
          <cell r="AL37">
            <v>673.27932598833445</v>
          </cell>
          <cell r="AM37">
            <v>0</v>
          </cell>
          <cell r="AN37">
            <v>0</v>
          </cell>
          <cell r="AO37">
            <v>0</v>
          </cell>
        </row>
        <row r="38">
          <cell r="K38" t="str">
            <v>SO24-2205</v>
          </cell>
          <cell r="L38" t="str">
            <v>KEEKOO VEG MASALA NOODLES RS 5/-215MM(12+25W)</v>
          </cell>
          <cell r="M38" t="str">
            <v>C24-2196</v>
          </cell>
          <cell r="O38" t="str">
            <v>BAL</v>
          </cell>
          <cell r="P38">
            <v>5000</v>
          </cell>
          <cell r="Q38">
            <v>1</v>
          </cell>
          <cell r="R38">
            <v>5000</v>
          </cell>
          <cell r="S38" t="str">
            <v>KG</v>
          </cell>
          <cell r="T38">
            <v>2120.6053550640277</v>
          </cell>
          <cell r="U38">
            <v>110.03556221793421</v>
          </cell>
          <cell r="V38">
            <v>0</v>
          </cell>
          <cell r="W38" t="str">
            <v>KG</v>
          </cell>
          <cell r="X38">
            <v>0</v>
          </cell>
          <cell r="Y38">
            <v>0</v>
          </cell>
          <cell r="Z38">
            <v>2120.6053550640277</v>
          </cell>
          <cell r="AA38" t="str">
            <v>KG</v>
          </cell>
          <cell r="AB38">
            <v>110.03556221793421</v>
          </cell>
          <cell r="AC38">
            <v>2120.6053550640277</v>
          </cell>
          <cell r="AD38">
            <v>110.03556221793421</v>
          </cell>
          <cell r="AE38">
            <v>1.075</v>
          </cell>
          <cell r="AF38">
            <v>0</v>
          </cell>
          <cell r="AG38">
            <v>0</v>
          </cell>
          <cell r="AH38">
            <v>110.03556221793421</v>
          </cell>
          <cell r="AI38">
            <v>0</v>
          </cell>
          <cell r="AJ38">
            <v>0</v>
          </cell>
          <cell r="AK38" t="str">
            <v>solv.Less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K39" t="str">
            <v>SO24-1854</v>
          </cell>
          <cell r="L39" t="str">
            <v>ITC A.Atta 2kg CL NO 3 (10,26,28,34,38,39)(FPAT01667)</v>
          </cell>
          <cell r="M39" t="str">
            <v>C24-2227</v>
          </cell>
          <cell r="O39" t="str">
            <v>BAL</v>
          </cell>
          <cell r="P39">
            <v>1000</v>
          </cell>
          <cell r="Q39">
            <v>1</v>
          </cell>
          <cell r="R39">
            <v>1000</v>
          </cell>
          <cell r="S39" t="str">
            <v>KG</v>
          </cell>
          <cell r="T39">
            <v>267.2155688622754</v>
          </cell>
          <cell r="U39">
            <v>15.346192038034483</v>
          </cell>
          <cell r="V39" t="e">
            <v>#N/A</v>
          </cell>
          <cell r="W39" t="str">
            <v>KG</v>
          </cell>
          <cell r="X39">
            <v>0</v>
          </cell>
          <cell r="Y39">
            <v>0</v>
          </cell>
          <cell r="Z39">
            <v>267.2155688622754</v>
          </cell>
          <cell r="AA39" t="str">
            <v>KG</v>
          </cell>
          <cell r="AB39">
            <v>15.346192038034483</v>
          </cell>
          <cell r="AC39">
            <v>267.2155688622754</v>
          </cell>
          <cell r="AD39">
            <v>15.346192038034483</v>
          </cell>
          <cell r="AE39" t="e">
            <v>#N/A</v>
          </cell>
          <cell r="AF39">
            <v>0</v>
          </cell>
          <cell r="AG39" t="e">
            <v>#N/A</v>
          </cell>
          <cell r="AH39" t="e">
            <v>#N/A</v>
          </cell>
          <cell r="AI39">
            <v>0</v>
          </cell>
          <cell r="AJ39">
            <v>0</v>
          </cell>
          <cell r="AK39" t="str">
            <v>solv.Less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</row>
        <row r="40">
          <cell r="K40" t="str">
            <v>SO24-2277</v>
          </cell>
          <cell r="L40" t="str">
            <v>YUMMY KOREAN RAMEN NOODLES OUTER</v>
          </cell>
          <cell r="M40" t="str">
            <v>C24-2254</v>
          </cell>
          <cell r="O40" t="str">
            <v>BAL</v>
          </cell>
          <cell r="P40">
            <v>500</v>
          </cell>
          <cell r="Q40">
            <v>1</v>
          </cell>
          <cell r="R40">
            <v>500</v>
          </cell>
          <cell r="S40" t="str">
            <v>KG</v>
          </cell>
          <cell r="T40">
            <v>208.22784810126578</v>
          </cell>
          <cell r="U40">
            <v>13.932011782501391</v>
          </cell>
          <cell r="V40" t="e">
            <v>#N/A</v>
          </cell>
          <cell r="W40" t="str">
            <v>KG</v>
          </cell>
          <cell r="X40">
            <v>0</v>
          </cell>
          <cell r="Y40">
            <v>0</v>
          </cell>
          <cell r="Z40">
            <v>208.22784810126578</v>
          </cell>
          <cell r="AA40" t="str">
            <v>KG</v>
          </cell>
          <cell r="AB40">
            <v>13.932011782501391</v>
          </cell>
          <cell r="AC40">
            <v>208.22784810126578</v>
          </cell>
          <cell r="AD40">
            <v>13.932011782501391</v>
          </cell>
          <cell r="AE40" t="e">
            <v>#N/A</v>
          </cell>
          <cell r="AF40">
            <v>0</v>
          </cell>
          <cell r="AG40" t="e">
            <v>#N/A</v>
          </cell>
          <cell r="AH40" t="e">
            <v>#N/A</v>
          </cell>
          <cell r="AI40">
            <v>0</v>
          </cell>
          <cell r="AJ40">
            <v>0</v>
          </cell>
          <cell r="AK40" t="str">
            <v>solv.Less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</row>
        <row r="41">
          <cell r="K41" t="str">
            <v>SO24-2280</v>
          </cell>
          <cell r="L41" t="str">
            <v>YUMMY YOHOO NONVEG NOODLES RS-5/-(New)</v>
          </cell>
          <cell r="M41" t="str">
            <v>C24-2256</v>
          </cell>
          <cell r="O41" t="str">
            <v>BAL</v>
          </cell>
          <cell r="P41">
            <v>500</v>
          </cell>
          <cell r="Q41">
            <v>1</v>
          </cell>
          <cell r="R41">
            <v>500</v>
          </cell>
          <cell r="S41" t="str">
            <v>KG</v>
          </cell>
          <cell r="T41">
            <v>231.46067415730337</v>
          </cell>
          <cell r="U41">
            <v>15.471970197680706</v>
          </cell>
          <cell r="V41" t="e">
            <v>#N/A</v>
          </cell>
          <cell r="W41" t="str">
            <v>KG</v>
          </cell>
          <cell r="X41">
            <v>230</v>
          </cell>
          <cell r="Y41">
            <v>15.374331550802138</v>
          </cell>
          <cell r="Z41">
            <v>1.460674157303373</v>
          </cell>
          <cell r="AA41" t="str">
            <v>KG</v>
          </cell>
          <cell r="AB41">
            <v>9.763864687856838E-2</v>
          </cell>
          <cell r="AC41">
            <v>231.46067415730337</v>
          </cell>
          <cell r="AD41">
            <v>15.471970197680706</v>
          </cell>
          <cell r="AE41" t="e">
            <v>#N/A</v>
          </cell>
          <cell r="AF41">
            <v>0</v>
          </cell>
          <cell r="AG41" t="e">
            <v>#N/A</v>
          </cell>
          <cell r="AH41" t="e">
            <v>#N/A</v>
          </cell>
          <cell r="AI41">
            <v>0</v>
          </cell>
          <cell r="AJ41">
            <v>230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</row>
        <row r="42">
          <cell r="K42" t="str">
            <v>SO24-1929</v>
          </cell>
          <cell r="L42" t="str">
            <v>MEERA HFC SHAMPOO 2RS 1025 INKRM (5009572)</v>
          </cell>
          <cell r="M42" t="str">
            <v>C24-2289</v>
          </cell>
          <cell r="O42" t="str">
            <v>BAL</v>
          </cell>
          <cell r="P42">
            <v>1000</v>
          </cell>
          <cell r="Q42">
            <v>1</v>
          </cell>
          <cell r="R42">
            <v>1000</v>
          </cell>
          <cell r="S42" t="str">
            <v>KG</v>
          </cell>
          <cell r="T42">
            <v>293.70629370629371</v>
          </cell>
          <cell r="U42">
            <v>17.482517482517483</v>
          </cell>
          <cell r="V42" t="e">
            <v>#N/A</v>
          </cell>
          <cell r="W42" t="str">
            <v>KG</v>
          </cell>
          <cell r="X42">
            <v>327</v>
          </cell>
          <cell r="Y42">
            <v>19.464285714285712</v>
          </cell>
          <cell r="Z42">
            <v>0</v>
          </cell>
          <cell r="AA42" t="str">
            <v>KG</v>
          </cell>
          <cell r="AB42">
            <v>0</v>
          </cell>
          <cell r="AC42">
            <v>-32.293706293706293</v>
          </cell>
          <cell r="AD42">
            <v>-1.9222444222444222</v>
          </cell>
          <cell r="AE42" t="e">
            <v>#N/A</v>
          </cell>
          <cell r="AF42">
            <v>0</v>
          </cell>
          <cell r="AG42" t="e">
            <v>#N/A</v>
          </cell>
          <cell r="AH42" t="e">
            <v>#N/A</v>
          </cell>
          <cell r="AI42">
            <v>326</v>
          </cell>
          <cell r="AJ42">
            <v>1</v>
          </cell>
          <cell r="AK42" t="str">
            <v>solv.Less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3">
          <cell r="K43" t="str">
            <v>SO24-2308</v>
          </cell>
          <cell r="L43" t="str">
            <v>Non Stop Paneer Bhujia Rs.5/- (200x135)R1</v>
          </cell>
          <cell r="M43" t="str">
            <v>C24-2317</v>
          </cell>
          <cell r="O43" t="str">
            <v>BAL</v>
          </cell>
          <cell r="P43">
            <v>1500</v>
          </cell>
          <cell r="Q43">
            <v>1</v>
          </cell>
          <cell r="R43">
            <v>1500</v>
          </cell>
          <cell r="S43" t="str">
            <v>KG</v>
          </cell>
          <cell r="T43">
            <v>389.08102766798419</v>
          </cell>
          <cell r="U43">
            <v>25.306083100356698</v>
          </cell>
          <cell r="V43" t="e">
            <v>#N/A</v>
          </cell>
          <cell r="W43" t="str">
            <v>KG</v>
          </cell>
          <cell r="X43">
            <v>383</v>
          </cell>
          <cell r="Y43">
            <v>24.91056910569106</v>
          </cell>
          <cell r="Z43">
            <v>6.0810276679841877</v>
          </cell>
          <cell r="AA43" t="str">
            <v>KG</v>
          </cell>
          <cell r="AB43">
            <v>0.39551399466563808</v>
          </cell>
          <cell r="AC43">
            <v>6.0810276679841877</v>
          </cell>
          <cell r="AD43">
            <v>0.39551399466563825</v>
          </cell>
          <cell r="AE43" t="e">
            <v>#N/A</v>
          </cell>
          <cell r="AF43">
            <v>0.39551399466563808</v>
          </cell>
          <cell r="AG43" t="e">
            <v>#N/A</v>
          </cell>
          <cell r="AH43" t="e">
            <v>#N/A</v>
          </cell>
          <cell r="AI43">
            <v>383</v>
          </cell>
          <cell r="AJ43">
            <v>0</v>
          </cell>
          <cell r="AK43" t="str">
            <v>Extrusion</v>
          </cell>
          <cell r="AL43">
            <v>1001.39081027668</v>
          </cell>
          <cell r="AM43">
            <v>978</v>
          </cell>
          <cell r="AN43">
            <v>0</v>
          </cell>
          <cell r="AO43">
            <v>978</v>
          </cell>
        </row>
        <row r="44">
          <cell r="K44" t="str">
            <v>SO24-2254</v>
          </cell>
          <cell r="L44" t="str">
            <v>ITC Sunfeast Bounce Orange 29g C1 Sep24(FPBI05367)</v>
          </cell>
          <cell r="M44" t="str">
            <v>C24-2341</v>
          </cell>
          <cell r="O44" t="str">
            <v>COMPLETED</v>
          </cell>
          <cell r="P44">
            <v>12000</v>
          </cell>
          <cell r="Q44">
            <v>1</v>
          </cell>
          <cell r="R44">
            <v>12000</v>
          </cell>
          <cell r="S44" t="str">
            <v>KG</v>
          </cell>
          <cell r="T44">
            <v>4090.6666666666665</v>
          </cell>
          <cell r="U44">
            <v>357.38831615120273</v>
          </cell>
          <cell r="V44" t="e">
            <v>#N/A</v>
          </cell>
          <cell r="W44" t="str">
            <v>KG</v>
          </cell>
          <cell r="X44">
            <v>4066</v>
          </cell>
          <cell r="Y44">
            <v>355.23326926437181</v>
          </cell>
          <cell r="Z44">
            <v>24.666666666666515</v>
          </cell>
          <cell r="AA44" t="str">
            <v>KG</v>
          </cell>
          <cell r="AB44">
            <v>2.1550468868309167</v>
          </cell>
          <cell r="AC44">
            <v>24.666666666666515</v>
          </cell>
          <cell r="AD44">
            <v>2.155046886830903</v>
          </cell>
          <cell r="AE44" t="e">
            <v>#N/A</v>
          </cell>
          <cell r="AF44">
            <v>2.1550468868309167</v>
          </cell>
          <cell r="AG44" t="e">
            <v>#N/A</v>
          </cell>
          <cell r="AH44" t="e">
            <v>#N/A</v>
          </cell>
          <cell r="AI44">
            <v>4066</v>
          </cell>
          <cell r="AJ44">
            <v>0</v>
          </cell>
          <cell r="AK44" t="str">
            <v>Extrusion</v>
          </cell>
          <cell r="AL44">
            <v>12105.599999999999</v>
          </cell>
          <cell r="AM44">
            <v>12342</v>
          </cell>
          <cell r="AN44">
            <v>12342</v>
          </cell>
          <cell r="AO44">
            <v>0</v>
          </cell>
        </row>
        <row r="45">
          <cell r="K45" t="str">
            <v>SO24-2255</v>
          </cell>
          <cell r="L45" t="str">
            <v>ITC Sunfeast  Bounce Choco 58g Sep24(FPBI05373)</v>
          </cell>
          <cell r="M45" t="str">
            <v>C24-2342</v>
          </cell>
          <cell r="O45" t="str">
            <v>BAL</v>
          </cell>
          <cell r="P45">
            <v>10000</v>
          </cell>
          <cell r="Q45">
            <v>1</v>
          </cell>
          <cell r="R45">
            <v>10000</v>
          </cell>
          <cell r="S45" t="str">
            <v>KG</v>
          </cell>
          <cell r="T45">
            <v>3896.6408268733849</v>
          </cell>
          <cell r="U45">
            <v>267.39686580019799</v>
          </cell>
          <cell r="V45" t="e">
            <v>#N/A</v>
          </cell>
          <cell r="W45" t="str">
            <v>KG</v>
          </cell>
          <cell r="X45">
            <v>3935</v>
          </cell>
          <cell r="Y45">
            <v>270.02916452221655</v>
          </cell>
          <cell r="Z45">
            <v>0</v>
          </cell>
          <cell r="AA45" t="str">
            <v>KG</v>
          </cell>
          <cell r="AB45">
            <v>0</v>
          </cell>
          <cell r="AC45">
            <v>1463.6408268733849</v>
          </cell>
          <cell r="AD45">
            <v>100.43855391136627</v>
          </cell>
          <cell r="AE45" t="e">
            <v>#N/A</v>
          </cell>
          <cell r="AF45">
            <v>0</v>
          </cell>
          <cell r="AG45" t="e">
            <v>#N/A</v>
          </cell>
          <cell r="AH45" t="e">
            <v>#N/A</v>
          </cell>
          <cell r="AI45">
            <v>2433</v>
          </cell>
          <cell r="AJ45">
            <v>1502</v>
          </cell>
          <cell r="AK45" t="str">
            <v>Extrusion</v>
          </cell>
          <cell r="AL45">
            <v>10088.000000000002</v>
          </cell>
          <cell r="AM45">
            <v>6083</v>
          </cell>
          <cell r="AN45">
            <v>0</v>
          </cell>
          <cell r="AO45">
            <v>6083</v>
          </cell>
        </row>
        <row r="46">
          <cell r="K46" t="str">
            <v>TSO24-55</v>
          </cell>
          <cell r="L46" t="str">
            <v>Manarola Plain Laminate (240+200+198+194MM)</v>
          </cell>
          <cell r="M46" t="str">
            <v>C24-2344</v>
          </cell>
          <cell r="O46" t="str">
            <v>BAL</v>
          </cell>
          <cell r="P46">
            <v>30</v>
          </cell>
          <cell r="Q46">
            <v>1</v>
          </cell>
          <cell r="R46">
            <v>30</v>
          </cell>
          <cell r="S46" t="str">
            <v>KG</v>
          </cell>
          <cell r="T46" t="e">
            <v>#DIV/0!</v>
          </cell>
          <cell r="U46" t="e">
            <v>#DIV/0!</v>
          </cell>
          <cell r="V46" t="e">
            <v>#DIV/0!</v>
          </cell>
          <cell r="W46" t="str">
            <v>KG</v>
          </cell>
          <cell r="X46">
            <v>0</v>
          </cell>
          <cell r="Y46" t="e">
            <v>#DIV/0!</v>
          </cell>
          <cell r="Z46" t="e">
            <v>#DIV/0!</v>
          </cell>
          <cell r="AA46" t="str">
            <v>KG</v>
          </cell>
          <cell r="AB46" t="e">
            <v>#DIV/0!</v>
          </cell>
          <cell r="AC46" t="e">
            <v>#DIV/0!</v>
          </cell>
          <cell r="AD46" t="e">
            <v>#DIV/0!</v>
          </cell>
          <cell r="AE46" t="e">
            <v>#N/A</v>
          </cell>
          <cell r="AF46">
            <v>0</v>
          </cell>
          <cell r="AG46" t="e">
            <v>#N/A</v>
          </cell>
          <cell r="AH46" t="e">
            <v>#N/A</v>
          </cell>
          <cell r="AI46">
            <v>0</v>
          </cell>
          <cell r="AJ46">
            <v>0</v>
          </cell>
          <cell r="AK46">
            <v>0</v>
          </cell>
          <cell r="AL46" t="e">
            <v>#DIV/0!</v>
          </cell>
          <cell r="AM46">
            <v>0</v>
          </cell>
          <cell r="AN46">
            <v>0</v>
          </cell>
          <cell r="AO46">
            <v>0</v>
          </cell>
        </row>
        <row r="47">
          <cell r="K47" t="str">
            <v>TSO24-56</v>
          </cell>
          <cell r="L47" t="str">
            <v>Manarola Plain Laminate (168+174MM)</v>
          </cell>
          <cell r="M47" t="str">
            <v>C24-2345</v>
          </cell>
          <cell r="O47" t="str">
            <v>BAL</v>
          </cell>
          <cell r="P47">
            <v>20</v>
          </cell>
          <cell r="Q47">
            <v>1</v>
          </cell>
          <cell r="R47">
            <v>20</v>
          </cell>
          <cell r="S47" t="str">
            <v>KG</v>
          </cell>
          <cell r="T47" t="e">
            <v>#DIV/0!</v>
          </cell>
          <cell r="U47" t="e">
            <v>#DIV/0!</v>
          </cell>
          <cell r="V47" t="e">
            <v>#DIV/0!</v>
          </cell>
          <cell r="W47" t="str">
            <v>KG</v>
          </cell>
          <cell r="X47">
            <v>0</v>
          </cell>
          <cell r="Y47" t="e">
            <v>#DIV/0!</v>
          </cell>
          <cell r="Z47" t="e">
            <v>#DIV/0!</v>
          </cell>
          <cell r="AA47" t="str">
            <v>KG</v>
          </cell>
          <cell r="AB47" t="e">
            <v>#DIV/0!</v>
          </cell>
          <cell r="AC47" t="e">
            <v>#DIV/0!</v>
          </cell>
          <cell r="AD47" t="e">
            <v>#DIV/0!</v>
          </cell>
          <cell r="AE47" t="e">
            <v>#N/A</v>
          </cell>
          <cell r="AF47">
            <v>0</v>
          </cell>
          <cell r="AG47" t="e">
            <v>#N/A</v>
          </cell>
          <cell r="AH47" t="e">
            <v>#N/A</v>
          </cell>
          <cell r="AI47">
            <v>0</v>
          </cell>
          <cell r="AJ47">
            <v>0</v>
          </cell>
          <cell r="AK47">
            <v>0</v>
          </cell>
          <cell r="AL47" t="e">
            <v>#DIV/0!</v>
          </cell>
          <cell r="AM47">
            <v>0</v>
          </cell>
          <cell r="AN47">
            <v>0</v>
          </cell>
          <cell r="AO47">
            <v>0</v>
          </cell>
        </row>
        <row r="48">
          <cell r="K48" t="str">
            <v>SO24-2351</v>
          </cell>
          <cell r="L48" t="str">
            <v>Repose Masala Badam</v>
          </cell>
          <cell r="M48" t="str">
            <v>C24-2355</v>
          </cell>
          <cell r="O48" t="str">
            <v>BAL</v>
          </cell>
          <cell r="P48">
            <v>1000</v>
          </cell>
          <cell r="Q48">
            <v>1</v>
          </cell>
          <cell r="R48">
            <v>1000</v>
          </cell>
          <cell r="S48" t="str">
            <v>KG</v>
          </cell>
          <cell r="T48">
            <v>258.96086813548175</v>
          </cell>
          <cell r="U48">
            <v>16.842983293364668</v>
          </cell>
          <cell r="V48" t="e">
            <v>#N/A</v>
          </cell>
          <cell r="W48" t="str">
            <v>KG</v>
          </cell>
          <cell r="X48">
            <v>268</v>
          </cell>
          <cell r="Y48">
            <v>17.430894308943092</v>
          </cell>
          <cell r="Z48">
            <v>0</v>
          </cell>
          <cell r="AA48" t="str">
            <v>KG</v>
          </cell>
          <cell r="AB48">
            <v>0</v>
          </cell>
          <cell r="AC48">
            <v>-9.0391318645182537</v>
          </cell>
          <cell r="AD48">
            <v>-0.58791101557842296</v>
          </cell>
          <cell r="AE48" t="e">
            <v>#N/A</v>
          </cell>
          <cell r="AF48">
            <v>0</v>
          </cell>
          <cell r="AG48" t="e">
            <v>#N/A</v>
          </cell>
          <cell r="AH48" t="e">
            <v>#N/A</v>
          </cell>
          <cell r="AI48">
            <v>268</v>
          </cell>
          <cell r="AJ48">
            <v>0</v>
          </cell>
          <cell r="AK48" t="str">
            <v>Extrusion</v>
          </cell>
          <cell r="AL48">
            <v>666.49621834922732</v>
          </cell>
          <cell r="AM48">
            <v>674</v>
          </cell>
          <cell r="AN48">
            <v>0</v>
          </cell>
          <cell r="AO48">
            <v>674</v>
          </cell>
        </row>
        <row r="49">
          <cell r="K49" t="str">
            <v>SO24-2348</v>
          </cell>
          <cell r="L49" t="str">
            <v>Fun Tasty Pack of 4  (Dhamal Masti, Lolipop,Nacho Nacho &amp; Zip Zap) Rs.5</v>
          </cell>
          <cell r="M49" t="str">
            <v>C24-2358</v>
          </cell>
          <cell r="O49" t="str">
            <v>BAL</v>
          </cell>
          <cell r="P49">
            <v>1500</v>
          </cell>
          <cell r="Q49">
            <v>1</v>
          </cell>
          <cell r="R49">
            <v>1500</v>
          </cell>
          <cell r="S49" t="str">
            <v>KG</v>
          </cell>
          <cell r="T49">
            <v>388.44130220322262</v>
          </cell>
          <cell r="U49">
            <v>22.616669706155612</v>
          </cell>
          <cell r="V49" t="e">
            <v>#N/A</v>
          </cell>
          <cell r="W49" t="str">
            <v>KG</v>
          </cell>
          <cell r="X49">
            <v>0</v>
          </cell>
          <cell r="Y49">
            <v>0</v>
          </cell>
          <cell r="Z49">
            <v>388.44130220322262</v>
          </cell>
          <cell r="AA49" t="str">
            <v>KG</v>
          </cell>
          <cell r="AB49">
            <v>22.616669706155612</v>
          </cell>
          <cell r="AC49">
            <v>388.44130220322262</v>
          </cell>
          <cell r="AD49">
            <v>22.616669706155612</v>
          </cell>
          <cell r="AE49" t="e">
            <v>#N/A</v>
          </cell>
          <cell r="AF49">
            <v>22.616669706155612</v>
          </cell>
          <cell r="AG49" t="e">
            <v>#N/A</v>
          </cell>
          <cell r="AH49" t="e">
            <v>#N/A</v>
          </cell>
          <cell r="AI49">
            <v>0</v>
          </cell>
          <cell r="AJ49">
            <v>0</v>
          </cell>
          <cell r="AK49" t="str">
            <v>Extrusion</v>
          </cell>
          <cell r="AL49">
            <v>999.74432752384064</v>
          </cell>
          <cell r="AM49">
            <v>0</v>
          </cell>
          <cell r="AN49">
            <v>0</v>
          </cell>
          <cell r="AO49">
            <v>0</v>
          </cell>
        </row>
        <row r="50">
          <cell r="K50" t="str">
            <v>SO24-2349</v>
          </cell>
          <cell r="L50" t="str">
            <v>Fun Tasty Pasta</v>
          </cell>
          <cell r="M50" t="str">
            <v>C24-2359</v>
          </cell>
          <cell r="O50" t="str">
            <v>BAL</v>
          </cell>
          <cell r="P50">
            <v>1000</v>
          </cell>
          <cell r="Q50">
            <v>1</v>
          </cell>
          <cell r="R50">
            <v>1000</v>
          </cell>
          <cell r="S50" t="str">
            <v>KG</v>
          </cell>
          <cell r="T50">
            <v>261.42716211772444</v>
          </cell>
          <cell r="U50">
            <v>15.221377706999967</v>
          </cell>
          <cell r="V50" t="e">
            <v>#N/A</v>
          </cell>
          <cell r="W50" t="str">
            <v>KG</v>
          </cell>
          <cell r="X50">
            <v>0</v>
          </cell>
          <cell r="Y50">
            <v>0</v>
          </cell>
          <cell r="Z50">
            <v>261.42716211772444</v>
          </cell>
          <cell r="AA50" t="str">
            <v>KG</v>
          </cell>
          <cell r="AB50">
            <v>15.221377706999967</v>
          </cell>
          <cell r="AC50">
            <v>261.42716211772444</v>
          </cell>
          <cell r="AD50">
            <v>15.221377706999967</v>
          </cell>
          <cell r="AE50" t="e">
            <v>#N/A</v>
          </cell>
          <cell r="AF50">
            <v>15.221377706999967</v>
          </cell>
          <cell r="AG50" t="e">
            <v>#N/A</v>
          </cell>
          <cell r="AH50" t="e">
            <v>#N/A</v>
          </cell>
          <cell r="AI50">
            <v>0</v>
          </cell>
          <cell r="AJ50">
            <v>0</v>
          </cell>
          <cell r="AK50" t="str">
            <v>Extrusion</v>
          </cell>
          <cell r="AL50">
            <v>672.84380138112454</v>
          </cell>
          <cell r="AM50">
            <v>0</v>
          </cell>
          <cell r="AN50">
            <v>0</v>
          </cell>
          <cell r="AO50">
            <v>0</v>
          </cell>
        </row>
        <row r="51">
          <cell r="K51" t="str">
            <v>SO24-2357</v>
          </cell>
          <cell r="L51" t="str">
            <v>LIKLA COOKIES [POUCH][12PET/35 CPP NAT]</v>
          </cell>
          <cell r="M51" t="str">
            <v>C24-2364</v>
          </cell>
          <cell r="O51" t="str">
            <v>BAL</v>
          </cell>
          <cell r="P51">
            <v>700</v>
          </cell>
          <cell r="Q51">
            <v>1</v>
          </cell>
          <cell r="R51">
            <v>700</v>
          </cell>
          <cell r="S51" t="str">
            <v>KG</v>
          </cell>
          <cell r="T51">
            <v>259.67049808429118</v>
          </cell>
          <cell r="U51">
            <v>21.087420666257202</v>
          </cell>
          <cell r="V51" t="e">
            <v>#N/A</v>
          </cell>
          <cell r="W51" t="str">
            <v>KG</v>
          </cell>
          <cell r="X51">
            <v>256</v>
          </cell>
          <cell r="Y51">
            <v>20.789345460451521</v>
          </cell>
          <cell r="Z51">
            <v>3.6704980842911823</v>
          </cell>
          <cell r="AA51" t="str">
            <v>KG</v>
          </cell>
          <cell r="AB51">
            <v>0.29807520580568081</v>
          </cell>
          <cell r="AC51">
            <v>259.67049808429118</v>
          </cell>
          <cell r="AD51">
            <v>21.087420666257202</v>
          </cell>
          <cell r="AE51" t="e">
            <v>#N/A</v>
          </cell>
          <cell r="AF51">
            <v>0</v>
          </cell>
          <cell r="AG51" t="e">
            <v>#N/A</v>
          </cell>
          <cell r="AH51" t="e">
            <v>#N/A</v>
          </cell>
          <cell r="AI51">
            <v>0</v>
          </cell>
          <cell r="AJ51">
            <v>256</v>
          </cell>
          <cell r="AK51" t="str">
            <v>solv.Less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K52" t="str">
            <v>SO24-2360</v>
          </cell>
          <cell r="L52" t="str">
            <v>VALLEY GOLD ASSAM TEA 250gm R1</v>
          </cell>
          <cell r="M52" t="str">
            <v>C24-2365</v>
          </cell>
          <cell r="O52" t="str">
            <v>BAL</v>
          </cell>
          <cell r="P52">
            <v>300</v>
          </cell>
          <cell r="Q52">
            <v>1</v>
          </cell>
          <cell r="R52">
            <v>300</v>
          </cell>
          <cell r="S52" t="str">
            <v>KG</v>
          </cell>
          <cell r="T52">
            <v>62.866242038216548</v>
          </cell>
          <cell r="U52">
            <v>5.1052657169251709</v>
          </cell>
          <cell r="V52" t="e">
            <v>#N/A</v>
          </cell>
          <cell r="W52" t="str">
            <v>KG</v>
          </cell>
          <cell r="X52">
            <v>66</v>
          </cell>
          <cell r="Y52">
            <v>5.3597531265226577</v>
          </cell>
          <cell r="Z52">
            <v>0</v>
          </cell>
          <cell r="AA52" t="str">
            <v>KG</v>
          </cell>
          <cell r="AB52">
            <v>0</v>
          </cell>
          <cell r="AC52">
            <v>62.866242038216548</v>
          </cell>
          <cell r="AD52">
            <v>5.1052657169251709</v>
          </cell>
          <cell r="AE52" t="e">
            <v>#N/A</v>
          </cell>
          <cell r="AF52">
            <v>0</v>
          </cell>
          <cell r="AG52" t="e">
            <v>#N/A</v>
          </cell>
          <cell r="AH52" t="e">
            <v>#N/A</v>
          </cell>
          <cell r="AI52">
            <v>0</v>
          </cell>
          <cell r="AJ52">
            <v>66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K53" t="str">
            <v>SO24-2362</v>
          </cell>
          <cell r="L53" t="str">
            <v>ITC SUNFEAST MARIE LIGHT ACTIVE - 75 GM EAST[FPBI04216]</v>
          </cell>
          <cell r="M53" t="str">
            <v>C24-2366</v>
          </cell>
          <cell r="O53" t="str">
            <v>BAL</v>
          </cell>
          <cell r="P53">
            <v>10000</v>
          </cell>
          <cell r="Q53">
            <v>1</v>
          </cell>
          <cell r="R53">
            <v>10000</v>
          </cell>
          <cell r="S53" t="str">
            <v>KG</v>
          </cell>
          <cell r="T53">
            <v>3952.8423772609817</v>
          </cell>
          <cell r="U53">
            <v>296.31502078418151</v>
          </cell>
          <cell r="V53">
            <v>9689.3629317416762</v>
          </cell>
          <cell r="W53" t="str">
            <v>KG</v>
          </cell>
          <cell r="X53">
            <v>3969</v>
          </cell>
          <cell r="Y53">
            <v>297.52623688155916</v>
          </cell>
          <cell r="Z53">
            <v>0</v>
          </cell>
          <cell r="AA53" t="str">
            <v>KG</v>
          </cell>
          <cell r="AB53">
            <v>0</v>
          </cell>
          <cell r="AC53">
            <v>-16.157622739018279</v>
          </cell>
          <cell r="AD53">
            <v>-1.211216097377682</v>
          </cell>
          <cell r="AE53">
            <v>0.89200000000000002</v>
          </cell>
          <cell r="AF53">
            <v>0</v>
          </cell>
          <cell r="AG53">
            <v>0</v>
          </cell>
          <cell r="AH53">
            <v>0</v>
          </cell>
          <cell r="AI53">
            <v>3969</v>
          </cell>
          <cell r="AJ53">
            <v>0</v>
          </cell>
          <cell r="AK53" t="str">
            <v>Extrusion</v>
          </cell>
          <cell r="AL53">
            <v>10233.5</v>
          </cell>
          <cell r="AM53">
            <v>10469</v>
          </cell>
          <cell r="AN53">
            <v>3378</v>
          </cell>
          <cell r="AO53">
            <v>7091</v>
          </cell>
        </row>
        <row r="54">
          <cell r="K54" t="str">
            <v>TSO24-58</v>
          </cell>
          <cell r="L54" t="str">
            <v>Tata Salt 1 Kg New KLD B.NO-DA Trial (345X209MM)</v>
          </cell>
          <cell r="M54" t="str">
            <v>C24-2367</v>
          </cell>
          <cell r="O54" t="str">
            <v>BAL</v>
          </cell>
          <cell r="P54">
            <v>300</v>
          </cell>
          <cell r="Q54">
            <v>1</v>
          </cell>
          <cell r="R54">
            <v>300</v>
          </cell>
          <cell r="S54" t="str">
            <v>KG</v>
          </cell>
          <cell r="T54">
            <v>140.25300974584368</v>
          </cell>
          <cell r="U54">
            <v>8.3818209374196897</v>
          </cell>
          <cell r="V54" t="e">
            <v>#N/A</v>
          </cell>
          <cell r="W54" t="str">
            <v>KG</v>
          </cell>
          <cell r="X54">
            <v>0</v>
          </cell>
          <cell r="Y54">
            <v>0</v>
          </cell>
          <cell r="Z54">
            <v>140.25300974584368</v>
          </cell>
          <cell r="AA54" t="str">
            <v>KG</v>
          </cell>
          <cell r="AB54">
            <v>8.3818209374196897</v>
          </cell>
          <cell r="AC54">
            <v>140.25300974584368</v>
          </cell>
          <cell r="AD54">
            <v>8.3818209374196897</v>
          </cell>
          <cell r="AE54" t="e">
            <v>#N/A</v>
          </cell>
          <cell r="AF54">
            <v>0</v>
          </cell>
          <cell r="AG54" t="e">
            <v>#N/A</v>
          </cell>
          <cell r="AH54" t="e">
            <v>#N/A</v>
          </cell>
          <cell r="AI54">
            <v>0</v>
          </cell>
          <cell r="AJ54">
            <v>0</v>
          </cell>
          <cell r="AK54" t="str">
            <v>solv.Less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K55" t="str">
            <v>TSO24-57</v>
          </cell>
          <cell r="L55" t="str">
            <v>Tata Salt 1 Kg New KLD B.NO-PA Trial (345X209MM)</v>
          </cell>
          <cell r="M55" t="str">
            <v>C24-2368</v>
          </cell>
          <cell r="O55" t="str">
            <v>BAL</v>
          </cell>
          <cell r="P55">
            <v>300</v>
          </cell>
          <cell r="Q55">
            <v>1</v>
          </cell>
          <cell r="R55">
            <v>300</v>
          </cell>
          <cell r="S55" t="str">
            <v>KG</v>
          </cell>
          <cell r="T55">
            <v>140.25300974584368</v>
          </cell>
          <cell r="U55">
            <v>8.3818209374196897</v>
          </cell>
          <cell r="V55" t="e">
            <v>#N/A</v>
          </cell>
          <cell r="W55" t="str">
            <v>KG</v>
          </cell>
          <cell r="X55">
            <v>0</v>
          </cell>
          <cell r="Y55">
            <v>0</v>
          </cell>
          <cell r="Z55">
            <v>140.25300974584368</v>
          </cell>
          <cell r="AA55" t="str">
            <v>KG</v>
          </cell>
          <cell r="AB55">
            <v>8.3818209374196897</v>
          </cell>
          <cell r="AC55">
            <v>140.25300974584368</v>
          </cell>
          <cell r="AD55">
            <v>8.3818209374196897</v>
          </cell>
          <cell r="AE55" t="e">
            <v>#N/A</v>
          </cell>
          <cell r="AF55">
            <v>0</v>
          </cell>
          <cell r="AG55" t="e">
            <v>#N/A</v>
          </cell>
          <cell r="AH55" t="e">
            <v>#N/A</v>
          </cell>
          <cell r="AI55">
            <v>0</v>
          </cell>
          <cell r="AJ55">
            <v>0</v>
          </cell>
          <cell r="AK55" t="str">
            <v>solv.Less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</row>
        <row r="56">
          <cell r="K56" t="str">
            <v>TSO24-59</v>
          </cell>
          <cell r="L56" t="str">
            <v>Tata Salt 1 Kg New KLD B.NO-RA Trial (345X209MM)</v>
          </cell>
          <cell r="M56" t="str">
            <v>C24-2369</v>
          </cell>
          <cell r="O56" t="str">
            <v>BAL</v>
          </cell>
          <cell r="P56">
            <v>300</v>
          </cell>
          <cell r="Q56">
            <v>1</v>
          </cell>
          <cell r="R56">
            <v>300</v>
          </cell>
          <cell r="S56" t="str">
            <v>KG</v>
          </cell>
          <cell r="T56">
            <v>140.25300974584368</v>
          </cell>
          <cell r="U56">
            <v>8.3818209374196897</v>
          </cell>
          <cell r="V56" t="e">
            <v>#N/A</v>
          </cell>
          <cell r="W56" t="str">
            <v>KG</v>
          </cell>
          <cell r="X56">
            <v>0</v>
          </cell>
          <cell r="Y56">
            <v>0</v>
          </cell>
          <cell r="Z56">
            <v>140.25300974584368</v>
          </cell>
          <cell r="AA56" t="str">
            <v>KG</v>
          </cell>
          <cell r="AB56">
            <v>8.3818209374196897</v>
          </cell>
          <cell r="AC56">
            <v>140.25300974584368</v>
          </cell>
          <cell r="AD56">
            <v>8.3818209374196897</v>
          </cell>
          <cell r="AE56" t="e">
            <v>#N/A</v>
          </cell>
          <cell r="AF56">
            <v>0</v>
          </cell>
          <cell r="AG56" t="e">
            <v>#N/A</v>
          </cell>
          <cell r="AH56" t="e">
            <v>#N/A</v>
          </cell>
          <cell r="AI56">
            <v>0</v>
          </cell>
          <cell r="AJ56">
            <v>0</v>
          </cell>
          <cell r="AK56" t="str">
            <v>solv.Less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</row>
        <row r="57">
          <cell r="K57" t="str">
            <v>SO24-2343</v>
          </cell>
          <cell r="L57" t="str">
            <v>Golaghat Tea 100gm (R1)</v>
          </cell>
          <cell r="M57" t="str">
            <v>C24-2373</v>
          </cell>
          <cell r="O57" t="str">
            <v>BAL</v>
          </cell>
          <cell r="P57">
            <v>1000</v>
          </cell>
          <cell r="Q57">
            <v>1</v>
          </cell>
          <cell r="R57">
            <v>1000</v>
          </cell>
          <cell r="S57" t="str">
            <v>KG</v>
          </cell>
          <cell r="T57">
            <v>288.36363636363637</v>
          </cell>
          <cell r="U57">
            <v>19.334448782301546</v>
          </cell>
          <cell r="V57" t="e">
            <v>#N/A</v>
          </cell>
          <cell r="W57" t="str">
            <v>KG</v>
          </cell>
          <cell r="X57">
            <v>288</v>
          </cell>
          <cell r="Y57">
            <v>19.310067384089312</v>
          </cell>
          <cell r="Z57">
            <v>0.36363636363637397</v>
          </cell>
          <cell r="AA57" t="str">
            <v>KG</v>
          </cell>
          <cell r="AB57">
            <v>2.4381398212234728E-2</v>
          </cell>
          <cell r="AC57">
            <v>288.36363636363637</v>
          </cell>
          <cell r="AD57">
            <v>19.334448782301546</v>
          </cell>
          <cell r="AE57" t="e">
            <v>#N/A</v>
          </cell>
          <cell r="AF57">
            <v>0</v>
          </cell>
          <cell r="AG57" t="e">
            <v>#N/A</v>
          </cell>
          <cell r="AH57" t="e">
            <v>#N/A</v>
          </cell>
          <cell r="AI57">
            <v>0</v>
          </cell>
          <cell r="AJ57">
            <v>288</v>
          </cell>
          <cell r="AK57" t="str">
            <v>solv.Less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K58" t="str">
            <v>SO24-2413</v>
          </cell>
          <cell r="L58" t="str">
            <v>NAMERI GOLD TEA 250GM-[MRP-RS 85/-]</v>
          </cell>
          <cell r="M58" t="str">
            <v>C24-2382</v>
          </cell>
          <cell r="O58" t="str">
            <v>BAL</v>
          </cell>
          <cell r="P58">
            <v>1000</v>
          </cell>
          <cell r="Q58">
            <v>1</v>
          </cell>
          <cell r="R58">
            <v>1000</v>
          </cell>
          <cell r="S58" t="str">
            <v>KG</v>
          </cell>
          <cell r="T58">
            <v>241.19700748129671</v>
          </cell>
          <cell r="U58">
            <v>12.529063813895215</v>
          </cell>
          <cell r="V58">
            <v>1006.2110961155659</v>
          </cell>
          <cell r="W58" t="str">
            <v>KG</v>
          </cell>
          <cell r="X58">
            <v>251</v>
          </cell>
          <cell r="Y58">
            <v>13.038283725520754</v>
          </cell>
          <cell r="Z58">
            <v>0</v>
          </cell>
          <cell r="AA58" t="str">
            <v>KG</v>
          </cell>
          <cell r="AB58">
            <v>0</v>
          </cell>
          <cell r="AC58">
            <v>241.19700748129671</v>
          </cell>
          <cell r="AD58">
            <v>12.529063813895215</v>
          </cell>
          <cell r="AE58">
            <v>1.02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251</v>
          </cell>
          <cell r="AK58" t="str">
            <v>solv.Less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</row>
        <row r="59">
          <cell r="K59" t="str">
            <v>SO24-2414</v>
          </cell>
          <cell r="L59" t="str">
            <v>NAMERI GOLD TEA 100GM[MRP-RS 35/-]</v>
          </cell>
          <cell r="M59" t="str">
            <v>C24-2383</v>
          </cell>
          <cell r="O59" t="str">
            <v>BAL</v>
          </cell>
          <cell r="P59">
            <v>1000</v>
          </cell>
          <cell r="Q59">
            <v>1</v>
          </cell>
          <cell r="R59">
            <v>1000</v>
          </cell>
          <cell r="S59" t="str">
            <v>KG</v>
          </cell>
          <cell r="T59">
            <v>255.87301587301579</v>
          </cell>
          <cell r="U59">
            <v>17.303916674985853</v>
          </cell>
          <cell r="V59">
            <v>959.33577556012369</v>
          </cell>
          <cell r="W59" t="str">
            <v>KG</v>
          </cell>
          <cell r="X59">
            <v>255</v>
          </cell>
          <cell r="Y59">
            <v>17.244877257050113</v>
          </cell>
          <cell r="Z59">
            <v>0.8730158730157882</v>
          </cell>
          <cell r="AA59" t="str">
            <v>KG</v>
          </cell>
          <cell r="AB59">
            <v>5.9039417935739635E-2</v>
          </cell>
          <cell r="AC59">
            <v>255.87301587301579</v>
          </cell>
          <cell r="AD59">
            <v>17.303916674985853</v>
          </cell>
          <cell r="AE59">
            <v>0.78</v>
          </cell>
          <cell r="AF59">
            <v>0</v>
          </cell>
          <cell r="AG59">
            <v>0</v>
          </cell>
          <cell r="AH59">
            <v>0.11807883587147927</v>
          </cell>
          <cell r="AI59">
            <v>0</v>
          </cell>
          <cell r="AJ59">
            <v>255</v>
          </cell>
          <cell r="AK59" t="str">
            <v>solv.Less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</row>
        <row r="60">
          <cell r="K60" t="str">
            <v>SO24-2415</v>
          </cell>
          <cell r="L60" t="str">
            <v>NAMERI-GOLD TEA Rs 10/-(27GM)</v>
          </cell>
          <cell r="M60" t="str">
            <v>C24-2384</v>
          </cell>
          <cell r="O60" t="str">
            <v>COMPLETED</v>
          </cell>
          <cell r="P60">
            <v>1500</v>
          </cell>
          <cell r="Q60">
            <v>1</v>
          </cell>
          <cell r="R60">
            <v>1500</v>
          </cell>
          <cell r="S60" t="str">
            <v>KG</v>
          </cell>
          <cell r="T60">
            <v>384.31788079470192</v>
          </cell>
          <cell r="U60">
            <v>30.385664199454613</v>
          </cell>
          <cell r="V60">
            <v>1464.3988758010814</v>
          </cell>
          <cell r="W60" t="str">
            <v>KG</v>
          </cell>
          <cell r="X60">
            <v>394</v>
          </cell>
          <cell r="Y60">
            <v>31.151170145477547</v>
          </cell>
          <cell r="Z60">
            <v>0</v>
          </cell>
          <cell r="AA60" t="str">
            <v>KG</v>
          </cell>
          <cell r="AB60">
            <v>0</v>
          </cell>
          <cell r="AC60">
            <v>-9.6821192052980791</v>
          </cell>
          <cell r="AD60">
            <v>-0.76550594602293487</v>
          </cell>
          <cell r="AE60">
            <v>0.66</v>
          </cell>
          <cell r="AF60">
            <v>0</v>
          </cell>
          <cell r="AG60">
            <v>0</v>
          </cell>
          <cell r="AH60">
            <v>0</v>
          </cell>
          <cell r="AI60">
            <v>394</v>
          </cell>
          <cell r="AJ60">
            <v>0</v>
          </cell>
          <cell r="AK60" t="str">
            <v>solv.Less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</row>
        <row r="61">
          <cell r="K61" t="str">
            <v>SO24-2417</v>
          </cell>
          <cell r="L61" t="str">
            <v>NAMERI  TEA SPECIAL 500GM[POUCH]</v>
          </cell>
          <cell r="M61" t="str">
            <v>C24-2386</v>
          </cell>
          <cell r="O61" t="str">
            <v>BAL</v>
          </cell>
          <cell r="P61">
            <v>174</v>
          </cell>
          <cell r="Q61">
            <v>8.6999999999999993</v>
          </cell>
          <cell r="R61">
            <v>20000</v>
          </cell>
          <cell r="S61" t="str">
            <v>NO</v>
          </cell>
          <cell r="T61">
            <v>42.774097135740966</v>
          </cell>
          <cell r="U61">
            <v>2.791678445094699</v>
          </cell>
          <cell r="V61">
            <v>197.76717655954076</v>
          </cell>
          <cell r="W61" t="str">
            <v>NO</v>
          </cell>
          <cell r="X61">
            <v>50</v>
          </cell>
          <cell r="Y61">
            <v>3.2632815559326462</v>
          </cell>
          <cell r="Z61">
            <v>0</v>
          </cell>
          <cell r="AA61" t="str">
            <v>NO</v>
          </cell>
          <cell r="AB61">
            <v>0</v>
          </cell>
          <cell r="AC61">
            <v>42.774097135740966</v>
          </cell>
          <cell r="AD61">
            <v>2.791678445094699</v>
          </cell>
          <cell r="AE61">
            <v>0.8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50</v>
          </cell>
          <cell r="AK61" t="str">
            <v>solv.Less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</row>
        <row r="62">
          <cell r="K62" t="str">
            <v>SO24-2384</v>
          </cell>
          <cell r="L62" t="str">
            <v>EVERYDAY HALDI-100GM</v>
          </cell>
          <cell r="M62" t="str">
            <v>C24-2388</v>
          </cell>
          <cell r="O62" t="str">
            <v>BAL</v>
          </cell>
          <cell r="P62">
            <v>2000</v>
          </cell>
          <cell r="Q62">
            <v>1</v>
          </cell>
          <cell r="R62">
            <v>2000</v>
          </cell>
          <cell r="S62" t="str">
            <v>KG</v>
          </cell>
          <cell r="T62">
            <v>515.17880794701978</v>
          </cell>
          <cell r="U62">
            <v>30.108927731335726</v>
          </cell>
          <cell r="V62">
            <v>0</v>
          </cell>
          <cell r="W62" t="str">
            <v>KG</v>
          </cell>
          <cell r="X62">
            <v>0</v>
          </cell>
          <cell r="Y62">
            <v>0</v>
          </cell>
          <cell r="Z62">
            <v>515.17880794701978</v>
          </cell>
          <cell r="AA62" t="str">
            <v>KG</v>
          </cell>
          <cell r="AB62">
            <v>30.108927731335726</v>
          </cell>
          <cell r="AC62">
            <v>515.17880794701978</v>
          </cell>
          <cell r="AD62">
            <v>30.108927731335726</v>
          </cell>
          <cell r="AE62">
            <v>0.9</v>
          </cell>
          <cell r="AF62">
            <v>0</v>
          </cell>
          <cell r="AG62">
            <v>0</v>
          </cell>
          <cell r="AH62">
            <v>60.217855462671452</v>
          </cell>
          <cell r="AI62">
            <v>0</v>
          </cell>
          <cell r="AJ62">
            <v>0</v>
          </cell>
          <cell r="AK62" t="str">
            <v>solv.Less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K63" t="str">
            <v>SO24-2388</v>
          </cell>
          <cell r="L63" t="str">
            <v>Everyday Multitrack Spice Rs.5/- (Jeera)</v>
          </cell>
          <cell r="M63" t="str">
            <v>C24-2392</v>
          </cell>
          <cell r="O63" t="str">
            <v>BAL</v>
          </cell>
          <cell r="P63">
            <v>5000</v>
          </cell>
          <cell r="Q63">
            <v>1</v>
          </cell>
          <cell r="R63">
            <v>5000</v>
          </cell>
          <cell r="S63" t="str">
            <v>KG</v>
          </cell>
          <cell r="T63">
            <v>1302.1108179419521</v>
          </cell>
          <cell r="U63">
            <v>71.03714227724781</v>
          </cell>
          <cell r="V63" t="e">
            <v>#N/A</v>
          </cell>
          <cell r="W63" t="str">
            <v>KG</v>
          </cell>
          <cell r="X63">
            <v>1314</v>
          </cell>
          <cell r="Y63">
            <v>71.685761047463188</v>
          </cell>
          <cell r="Z63">
            <v>0</v>
          </cell>
          <cell r="AA63" t="str">
            <v>KG</v>
          </cell>
          <cell r="AB63">
            <v>0</v>
          </cell>
          <cell r="AC63">
            <v>1302.1108179419521</v>
          </cell>
          <cell r="AD63">
            <v>71.03714227724781</v>
          </cell>
          <cell r="AE63" t="e">
            <v>#N/A</v>
          </cell>
          <cell r="AF63">
            <v>0</v>
          </cell>
          <cell r="AG63" t="e">
            <v>#N/A</v>
          </cell>
          <cell r="AH63" t="e">
            <v>#N/A</v>
          </cell>
          <cell r="AI63">
            <v>0</v>
          </cell>
          <cell r="AJ63">
            <v>1314</v>
          </cell>
          <cell r="AK63" t="str">
            <v>solv.Less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K64" t="str">
            <v>SO24-2392</v>
          </cell>
          <cell r="L64" t="str">
            <v>EVERYDAY SPICE MIRCHI 100GM</v>
          </cell>
          <cell r="M64" t="str">
            <v>C24-2395</v>
          </cell>
          <cell r="O64" t="str">
            <v>BAL</v>
          </cell>
          <cell r="P64">
            <v>1000</v>
          </cell>
          <cell r="Q64">
            <v>1</v>
          </cell>
          <cell r="R64">
            <v>1000</v>
          </cell>
          <cell r="S64" t="str">
            <v>KG</v>
          </cell>
          <cell r="T64">
            <v>257.58940397350989</v>
          </cell>
          <cell r="U64">
            <v>15.054463865667863</v>
          </cell>
          <cell r="V64">
            <v>0</v>
          </cell>
          <cell r="W64" t="str">
            <v>KG</v>
          </cell>
          <cell r="X64">
            <v>0</v>
          </cell>
          <cell r="Y64">
            <v>0</v>
          </cell>
          <cell r="Z64">
            <v>257.58940397350989</v>
          </cell>
          <cell r="AA64" t="str">
            <v>KG</v>
          </cell>
          <cell r="AB64">
            <v>15.054463865667863</v>
          </cell>
          <cell r="AC64">
            <v>257.58940397350989</v>
          </cell>
          <cell r="AD64">
            <v>15.054463865667863</v>
          </cell>
          <cell r="AE64">
            <v>0.9</v>
          </cell>
          <cell r="AF64">
            <v>0</v>
          </cell>
          <cell r="AG64">
            <v>0</v>
          </cell>
          <cell r="AH64">
            <v>30.108927731335726</v>
          </cell>
          <cell r="AI64">
            <v>0</v>
          </cell>
          <cell r="AJ64">
            <v>0</v>
          </cell>
          <cell r="AK64" t="str">
            <v>solv.Less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</row>
        <row r="65">
          <cell r="K65" t="str">
            <v>SO24-2394</v>
          </cell>
          <cell r="L65" t="str">
            <v>EVERYDAY  MEAT MASALA RS 2/-</v>
          </cell>
          <cell r="M65" t="str">
            <v>C24-2397</v>
          </cell>
          <cell r="O65" t="str">
            <v>BAL</v>
          </cell>
          <cell r="P65">
            <v>2000</v>
          </cell>
          <cell r="Q65">
            <v>1</v>
          </cell>
          <cell r="R65">
            <v>2000</v>
          </cell>
          <cell r="S65" t="str">
            <v>KG</v>
          </cell>
          <cell r="T65">
            <v>520.84432717678078</v>
          </cell>
          <cell r="U65">
            <v>27.430183651610538</v>
          </cell>
          <cell r="V65" t="e">
            <v>#N/A</v>
          </cell>
          <cell r="W65" t="str">
            <v>KG</v>
          </cell>
          <cell r="X65">
            <v>531</v>
          </cell>
          <cell r="Y65">
            <v>27.965030545607757</v>
          </cell>
          <cell r="Z65">
            <v>0</v>
          </cell>
          <cell r="AA65" t="str">
            <v>KG</v>
          </cell>
          <cell r="AB65">
            <v>0</v>
          </cell>
          <cell r="AC65">
            <v>520.84432717678078</v>
          </cell>
          <cell r="AD65">
            <v>27.430183651610538</v>
          </cell>
          <cell r="AE65" t="e">
            <v>#N/A</v>
          </cell>
          <cell r="AF65">
            <v>0</v>
          </cell>
          <cell r="AG65" t="e">
            <v>#N/A</v>
          </cell>
          <cell r="AH65" t="e">
            <v>#N/A</v>
          </cell>
          <cell r="AI65">
            <v>0</v>
          </cell>
          <cell r="AJ65">
            <v>531</v>
          </cell>
          <cell r="AK65" t="str">
            <v>solv.Less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K66" t="str">
            <v>SO24-2395</v>
          </cell>
          <cell r="L66" t="str">
            <v>EVERYDAY SPICE DHANIA Rs.2/-</v>
          </cell>
          <cell r="M66" t="str">
            <v>C24-2398</v>
          </cell>
          <cell r="O66" t="str">
            <v>BAL</v>
          </cell>
          <cell r="P66">
            <v>2000</v>
          </cell>
          <cell r="Q66">
            <v>1</v>
          </cell>
          <cell r="R66">
            <v>2000</v>
          </cell>
          <cell r="S66" t="str">
            <v>KG</v>
          </cell>
          <cell r="T66">
            <v>520.84432717678078</v>
          </cell>
          <cell r="U66">
            <v>28.414856910899118</v>
          </cell>
          <cell r="V66" t="e">
            <v>#N/A</v>
          </cell>
          <cell r="W66" t="str">
            <v>KG</v>
          </cell>
          <cell r="X66">
            <v>0</v>
          </cell>
          <cell r="Y66">
            <v>0</v>
          </cell>
          <cell r="Z66">
            <v>520.84432717678078</v>
          </cell>
          <cell r="AA66" t="str">
            <v>KG</v>
          </cell>
          <cell r="AB66">
            <v>28.414856910899118</v>
          </cell>
          <cell r="AC66">
            <v>520.84432717678078</v>
          </cell>
          <cell r="AD66">
            <v>28.414856910899118</v>
          </cell>
          <cell r="AE66" t="e">
            <v>#N/A</v>
          </cell>
          <cell r="AF66">
            <v>0</v>
          </cell>
          <cell r="AG66" t="e">
            <v>#N/A</v>
          </cell>
          <cell r="AH66" t="e">
            <v>#N/A</v>
          </cell>
          <cell r="AI66">
            <v>0</v>
          </cell>
          <cell r="AJ66">
            <v>0</v>
          </cell>
          <cell r="AK66" t="str">
            <v>solv.Less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</row>
        <row r="67">
          <cell r="K67" t="str">
            <v>SO24-2396</v>
          </cell>
          <cell r="L67" t="str">
            <v>EVERYDAY SPICE MIRCHA RS-2/ (NEW)</v>
          </cell>
          <cell r="M67" t="str">
            <v>C24-2399</v>
          </cell>
          <cell r="O67" t="str">
            <v>BAL</v>
          </cell>
          <cell r="P67">
            <v>2000</v>
          </cell>
          <cell r="Q67">
            <v>1</v>
          </cell>
          <cell r="R67">
            <v>2000</v>
          </cell>
          <cell r="S67" t="str">
            <v>KG</v>
          </cell>
          <cell r="T67">
            <v>520.84432717678078</v>
          </cell>
          <cell r="U67">
            <v>27.430183651610538</v>
          </cell>
          <cell r="V67" t="e">
            <v>#N/A</v>
          </cell>
          <cell r="W67" t="str">
            <v>KG</v>
          </cell>
          <cell r="X67">
            <v>509</v>
          </cell>
          <cell r="Y67">
            <v>26.806404044659789</v>
          </cell>
          <cell r="Z67">
            <v>11.84432717678078</v>
          </cell>
          <cell r="AA67" t="str">
            <v>KG</v>
          </cell>
          <cell r="AB67">
            <v>0.62377960695074819</v>
          </cell>
          <cell r="AC67">
            <v>520.84432717678078</v>
          </cell>
          <cell r="AD67">
            <v>27.430183651610538</v>
          </cell>
          <cell r="AE67" t="e">
            <v>#N/A</v>
          </cell>
          <cell r="AF67">
            <v>0</v>
          </cell>
          <cell r="AG67" t="e">
            <v>#N/A</v>
          </cell>
          <cell r="AH67" t="e">
            <v>#N/A</v>
          </cell>
          <cell r="AI67">
            <v>0</v>
          </cell>
          <cell r="AJ67">
            <v>509</v>
          </cell>
          <cell r="AK67" t="str">
            <v>solv.Less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</row>
        <row r="68">
          <cell r="K68" t="str">
            <v>SO24-2397</v>
          </cell>
          <cell r="L68" t="str">
            <v>EVERYDAY SPICE JEERA RS-2/ (NEW)</v>
          </cell>
          <cell r="M68" t="str">
            <v>C24-2400</v>
          </cell>
          <cell r="O68" t="str">
            <v>BAL</v>
          </cell>
          <cell r="P68">
            <v>1000</v>
          </cell>
          <cell r="Q68">
            <v>1</v>
          </cell>
          <cell r="R68">
            <v>1000</v>
          </cell>
          <cell r="S68" t="str">
            <v>KG</v>
          </cell>
          <cell r="T68">
            <v>260.42216358839039</v>
          </cell>
          <cell r="U68">
            <v>13.715091825805269</v>
          </cell>
          <cell r="V68" t="e">
            <v>#N/A</v>
          </cell>
          <cell r="W68" t="str">
            <v>KG</v>
          </cell>
          <cell r="X68">
            <v>279</v>
          </cell>
          <cell r="Y68">
            <v>14.693490625658313</v>
          </cell>
          <cell r="Z68">
            <v>0</v>
          </cell>
          <cell r="AA68" t="str">
            <v>KG</v>
          </cell>
          <cell r="AB68">
            <v>0</v>
          </cell>
          <cell r="AC68">
            <v>260.42216358839039</v>
          </cell>
          <cell r="AD68">
            <v>13.715091825805269</v>
          </cell>
          <cell r="AE68" t="e">
            <v>#N/A</v>
          </cell>
          <cell r="AF68">
            <v>0</v>
          </cell>
          <cell r="AG68" t="e">
            <v>#N/A</v>
          </cell>
          <cell r="AH68" t="e">
            <v>#N/A</v>
          </cell>
          <cell r="AI68">
            <v>0</v>
          </cell>
          <cell r="AJ68">
            <v>279</v>
          </cell>
          <cell r="AK68" t="str">
            <v>solv.Less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</row>
        <row r="69">
          <cell r="K69" t="str">
            <v>SO24-2398</v>
          </cell>
          <cell r="L69" t="str">
            <v>EVERYDAY GARAM MASALA RS-2/-</v>
          </cell>
          <cell r="M69" t="str">
            <v>C24-2401</v>
          </cell>
          <cell r="O69" t="str">
            <v>BAL</v>
          </cell>
          <cell r="P69">
            <v>2000</v>
          </cell>
          <cell r="Q69">
            <v>1</v>
          </cell>
          <cell r="R69">
            <v>2000</v>
          </cell>
          <cell r="S69" t="str">
            <v>KG</v>
          </cell>
          <cell r="T69">
            <v>520.84432717678078</v>
          </cell>
          <cell r="U69">
            <v>27.430183651610538</v>
          </cell>
          <cell r="V69" t="e">
            <v>#N/A</v>
          </cell>
          <cell r="W69" t="str">
            <v>KG</v>
          </cell>
          <cell r="X69">
            <v>524</v>
          </cell>
          <cell r="Y69">
            <v>27.596376658942496</v>
          </cell>
          <cell r="Z69">
            <v>0</v>
          </cell>
          <cell r="AA69" t="str">
            <v>KG</v>
          </cell>
          <cell r="AB69">
            <v>0</v>
          </cell>
          <cell r="AC69">
            <v>520.84432717678078</v>
          </cell>
          <cell r="AD69">
            <v>27.430183651610538</v>
          </cell>
          <cell r="AE69" t="e">
            <v>#N/A</v>
          </cell>
          <cell r="AF69">
            <v>0</v>
          </cell>
          <cell r="AG69" t="e">
            <v>#N/A</v>
          </cell>
          <cell r="AH69" t="e">
            <v>#N/A</v>
          </cell>
          <cell r="AI69">
            <v>0</v>
          </cell>
          <cell r="AJ69">
            <v>524</v>
          </cell>
          <cell r="AK69" t="str">
            <v>solv.Less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</row>
        <row r="70">
          <cell r="K70" t="str">
            <v>SO24-2382</v>
          </cell>
          <cell r="L70" t="str">
            <v>SQUARE ONE MOON CHIPS</v>
          </cell>
          <cell r="M70" t="str">
            <v>C24-2404</v>
          </cell>
          <cell r="O70" t="str">
            <v>BAL</v>
          </cell>
          <cell r="P70">
            <v>2000</v>
          </cell>
          <cell r="Q70">
            <v>1</v>
          </cell>
          <cell r="R70">
            <v>2000</v>
          </cell>
          <cell r="S70" t="str">
            <v>KG</v>
          </cell>
          <cell r="T70">
            <v>523.71541501976287</v>
          </cell>
          <cell r="U70">
            <v>36.559540315515733</v>
          </cell>
          <cell r="V70" t="e">
            <v>#N/A</v>
          </cell>
          <cell r="W70" t="str">
            <v>KG</v>
          </cell>
          <cell r="X70">
            <v>540</v>
          </cell>
          <cell r="Y70">
            <v>37.696335078534034</v>
          </cell>
          <cell r="Z70">
            <v>0</v>
          </cell>
          <cell r="AA70" t="str">
            <v>KG</v>
          </cell>
          <cell r="AB70">
            <v>0</v>
          </cell>
          <cell r="AC70">
            <v>-16.284584980237128</v>
          </cell>
          <cell r="AD70">
            <v>-1.1367947630182986</v>
          </cell>
          <cell r="AE70" t="e">
            <v>#N/A</v>
          </cell>
          <cell r="AF70">
            <v>0</v>
          </cell>
          <cell r="AG70" t="e">
            <v>#N/A</v>
          </cell>
          <cell r="AH70" t="e">
            <v>#N/A</v>
          </cell>
          <cell r="AI70">
            <v>540</v>
          </cell>
          <cell r="AJ70">
            <v>0</v>
          </cell>
          <cell r="AK70">
            <v>0</v>
          </cell>
          <cell r="AL70">
            <v>1310.6501976284587</v>
          </cell>
          <cell r="AM70">
            <v>1377</v>
          </cell>
          <cell r="AN70">
            <v>0</v>
          </cell>
          <cell r="AO70">
            <v>1377</v>
          </cell>
        </row>
        <row r="71">
          <cell r="K71" t="str">
            <v>SO24-2374</v>
          </cell>
          <cell r="L71" t="str">
            <v>NON STOP CHEESE BALL Rs 5/-[10/8/12/19]2.2OD</v>
          </cell>
          <cell r="M71" t="str">
            <v>C24-2407</v>
          </cell>
          <cell r="N71" t="str">
            <v>all AVL</v>
          </cell>
          <cell r="O71" t="str">
            <v>BAL</v>
          </cell>
          <cell r="P71">
            <v>1000</v>
          </cell>
          <cell r="Q71">
            <v>1</v>
          </cell>
          <cell r="R71">
            <v>1000</v>
          </cell>
          <cell r="S71" t="str">
            <v>KG</v>
          </cell>
          <cell r="T71">
            <v>259.38735177865613</v>
          </cell>
          <cell r="U71">
            <v>15.371102327624067</v>
          </cell>
          <cell r="V71">
            <v>982.04310272536691</v>
          </cell>
          <cell r="W71" t="str">
            <v>KG</v>
          </cell>
          <cell r="X71">
            <v>263</v>
          </cell>
          <cell r="Y71">
            <v>15.585185185185185</v>
          </cell>
          <cell r="Z71">
            <v>0</v>
          </cell>
          <cell r="AA71" t="str">
            <v>KG</v>
          </cell>
          <cell r="AB71">
            <v>0</v>
          </cell>
          <cell r="AC71">
            <v>-3.6126482213438749</v>
          </cell>
          <cell r="AD71">
            <v>-0.2140828575611185</v>
          </cell>
          <cell r="AE71">
            <v>1.1000000000000001</v>
          </cell>
          <cell r="AF71">
            <v>0</v>
          </cell>
          <cell r="AG71">
            <v>0</v>
          </cell>
          <cell r="AH71">
            <v>0</v>
          </cell>
          <cell r="AI71">
            <v>263</v>
          </cell>
          <cell r="AJ71">
            <v>0</v>
          </cell>
          <cell r="AK71" t="str">
            <v>Extrusion</v>
          </cell>
          <cell r="AL71">
            <v>667.59387351778651</v>
          </cell>
          <cell r="AM71">
            <v>662</v>
          </cell>
          <cell r="AN71">
            <v>0</v>
          </cell>
          <cell r="AO71">
            <v>662</v>
          </cell>
        </row>
        <row r="72">
          <cell r="K72" t="str">
            <v>SO24-2375</v>
          </cell>
          <cell r="L72" t="str">
            <v>AXOM TALES[4-in-1][HULK/TIKTOK/LPL/PUBJI][10/8/12/22]</v>
          </cell>
          <cell r="M72" t="str">
            <v>C24-2408</v>
          </cell>
          <cell r="O72" t="str">
            <v>BAL</v>
          </cell>
          <cell r="P72">
            <v>1000</v>
          </cell>
          <cell r="Q72">
            <v>1</v>
          </cell>
          <cell r="R72">
            <v>1000</v>
          </cell>
          <cell r="S72" t="str">
            <v>KG</v>
          </cell>
          <cell r="T72">
            <v>242.23602484472048</v>
          </cell>
          <cell r="U72">
            <v>14.103989801730449</v>
          </cell>
          <cell r="V72">
            <v>1034.0505891076875</v>
          </cell>
          <cell r="W72" t="str">
            <v>KG</v>
          </cell>
          <cell r="X72">
            <v>261</v>
          </cell>
          <cell r="Y72">
            <v>15.196506550218341</v>
          </cell>
          <cell r="Z72">
            <v>0</v>
          </cell>
          <cell r="AA72" t="str">
            <v>KG</v>
          </cell>
          <cell r="AB72">
            <v>0</v>
          </cell>
          <cell r="AC72">
            <v>-18.763975155279525</v>
          </cell>
          <cell r="AD72">
            <v>-1.0925167484878908</v>
          </cell>
          <cell r="AE72">
            <v>1.1200000000000001</v>
          </cell>
          <cell r="AF72">
            <v>0</v>
          </cell>
          <cell r="AG72">
            <v>0</v>
          </cell>
          <cell r="AH72">
            <v>0</v>
          </cell>
          <cell r="AI72">
            <v>261</v>
          </cell>
          <cell r="AJ72">
            <v>0</v>
          </cell>
          <cell r="AK72" t="str">
            <v>Extrusion</v>
          </cell>
          <cell r="AL72">
            <v>623.45093167701862</v>
          </cell>
          <cell r="AM72">
            <v>671</v>
          </cell>
          <cell r="AN72">
            <v>0</v>
          </cell>
          <cell r="AO72">
            <v>671</v>
          </cell>
        </row>
        <row r="73">
          <cell r="K73" t="str">
            <v>SO24-2376</v>
          </cell>
          <cell r="L73" t="str">
            <v>AXOM TALES[4-in-1][KHAJANA/LUDO/MARBEL MEN/BALOON][10/8/12/25]</v>
          </cell>
          <cell r="M73" t="str">
            <v>C24-2409</v>
          </cell>
          <cell r="O73" t="str">
            <v>BAL</v>
          </cell>
          <cell r="P73">
            <v>1000</v>
          </cell>
          <cell r="Q73">
            <v>1</v>
          </cell>
          <cell r="R73">
            <v>1000</v>
          </cell>
          <cell r="S73" t="str">
            <v>KG</v>
          </cell>
          <cell r="T73">
            <v>242.23602484472048</v>
          </cell>
          <cell r="U73">
            <v>14.103989801730449</v>
          </cell>
          <cell r="V73">
            <v>998.39367224190516</v>
          </cell>
          <cell r="W73" t="str">
            <v>KG</v>
          </cell>
          <cell r="X73">
            <v>252</v>
          </cell>
          <cell r="Y73">
            <v>14.672489082969433</v>
          </cell>
          <cell r="Z73">
            <v>0</v>
          </cell>
          <cell r="AA73" t="str">
            <v>KG</v>
          </cell>
          <cell r="AB73">
            <v>0</v>
          </cell>
          <cell r="AC73">
            <v>-9.7639751552795246</v>
          </cell>
          <cell r="AD73">
            <v>-0.56849928123898252</v>
          </cell>
          <cell r="AE73">
            <v>1.1200000000000001</v>
          </cell>
          <cell r="AF73">
            <v>0</v>
          </cell>
          <cell r="AG73">
            <v>0</v>
          </cell>
          <cell r="AH73">
            <v>0</v>
          </cell>
          <cell r="AI73">
            <v>252</v>
          </cell>
          <cell r="AJ73">
            <v>0</v>
          </cell>
          <cell r="AK73" t="str">
            <v>Extrusion</v>
          </cell>
          <cell r="AL73">
            <v>623.45093167701862</v>
          </cell>
          <cell r="AM73">
            <v>614</v>
          </cell>
          <cell r="AN73">
            <v>0</v>
          </cell>
          <cell r="AO73">
            <v>614</v>
          </cell>
        </row>
        <row r="74">
          <cell r="K74" t="str">
            <v>SO24-2377</v>
          </cell>
          <cell r="L74" t="str">
            <v>AXOM TALES 4IN1-(CHIPKOO,CRAZY BALL,MOTTU PATLU,POPIT)4PLY</v>
          </cell>
          <cell r="M74" t="str">
            <v>C24-2410</v>
          </cell>
          <cell r="O74" t="str">
            <v>BAL</v>
          </cell>
          <cell r="P74">
            <v>1000</v>
          </cell>
          <cell r="Q74">
            <v>1</v>
          </cell>
          <cell r="R74">
            <v>1000</v>
          </cell>
          <cell r="S74" t="str">
            <v>KG</v>
          </cell>
          <cell r="T74">
            <v>244.56521739130432</v>
          </cell>
          <cell r="U74">
            <v>14.239605088285549</v>
          </cell>
          <cell r="V74" t="e">
            <v>#N/A</v>
          </cell>
          <cell r="W74" t="str">
            <v>KG</v>
          </cell>
          <cell r="X74">
            <v>275</v>
          </cell>
          <cell r="Y74">
            <v>16.011644832605533</v>
          </cell>
          <cell r="Z74">
            <v>0</v>
          </cell>
          <cell r="AA74" t="str">
            <v>KG</v>
          </cell>
          <cell r="AB74">
            <v>0</v>
          </cell>
          <cell r="AC74">
            <v>-30.434782608695684</v>
          </cell>
          <cell r="AD74">
            <v>-1.7720397443199816</v>
          </cell>
          <cell r="AE74" t="e">
            <v>#N/A</v>
          </cell>
          <cell r="AF74">
            <v>0</v>
          </cell>
          <cell r="AG74" t="e">
            <v>#N/A</v>
          </cell>
          <cell r="AH74" t="e">
            <v>#N/A</v>
          </cell>
          <cell r="AI74">
            <v>275</v>
          </cell>
          <cell r="AJ74">
            <v>0</v>
          </cell>
          <cell r="AK74" t="str">
            <v>Extrusion</v>
          </cell>
          <cell r="AL74">
            <v>629.44565217391278</v>
          </cell>
          <cell r="AM74">
            <v>707</v>
          </cell>
          <cell r="AN74">
            <v>0</v>
          </cell>
          <cell r="AO74">
            <v>707</v>
          </cell>
        </row>
        <row r="75">
          <cell r="K75" t="str">
            <v>SO24-2365</v>
          </cell>
          <cell r="L75" t="str">
            <v>ITC Sunfeast ML 225g non promo (FPBI04893)</v>
          </cell>
          <cell r="M75" t="str">
            <v>C24-2412</v>
          </cell>
          <cell r="O75" t="str">
            <v>BAL</v>
          </cell>
          <cell r="P75">
            <v>1000</v>
          </cell>
          <cell r="Q75">
            <v>1</v>
          </cell>
          <cell r="R75">
            <v>1000</v>
          </cell>
          <cell r="S75" t="str">
            <v>KG</v>
          </cell>
          <cell r="T75">
            <v>479.83827493261452</v>
          </cell>
          <cell r="U75">
            <v>26.121324086132226</v>
          </cell>
          <cell r="V75" t="e">
            <v>#N/A</v>
          </cell>
          <cell r="W75" t="str">
            <v>KG</v>
          </cell>
          <cell r="X75">
            <v>503</v>
          </cell>
          <cell r="Y75">
            <v>27.382196672763698</v>
          </cell>
          <cell r="Z75">
            <v>0</v>
          </cell>
          <cell r="AA75" t="str">
            <v>KG</v>
          </cell>
          <cell r="AB75">
            <v>0</v>
          </cell>
          <cell r="AC75">
            <v>479.83827493261452</v>
          </cell>
          <cell r="AD75">
            <v>26.121324086132226</v>
          </cell>
          <cell r="AE75" t="e">
            <v>#N/A</v>
          </cell>
          <cell r="AF75">
            <v>0</v>
          </cell>
          <cell r="AG75" t="e">
            <v>#N/A</v>
          </cell>
          <cell r="AH75" t="e">
            <v>#N/A</v>
          </cell>
          <cell r="AI75">
            <v>0</v>
          </cell>
          <cell r="AJ75">
            <v>503</v>
          </cell>
          <cell r="AK75" t="str">
            <v>solv.Less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</row>
        <row r="76">
          <cell r="K76" t="str">
            <v>SO24-2366</v>
          </cell>
          <cell r="L76" t="str">
            <v>ITC Sunfeast ML 112.5g SF - Inner East (FPBI04908)</v>
          </cell>
          <cell r="M76" t="str">
            <v>C24-2413</v>
          </cell>
          <cell r="O76" t="str">
            <v>COMPLETED</v>
          </cell>
          <cell r="P76">
            <v>8000</v>
          </cell>
          <cell r="Q76">
            <v>1</v>
          </cell>
          <cell r="R76">
            <v>8000</v>
          </cell>
          <cell r="S76" t="str">
            <v>KG</v>
          </cell>
          <cell r="T76">
            <v>3555.0632911392404</v>
          </cell>
          <cell r="U76">
            <v>286.10107043668791</v>
          </cell>
          <cell r="V76" t="e">
            <v>#N/A</v>
          </cell>
          <cell r="W76" t="str">
            <v>KG</v>
          </cell>
          <cell r="X76">
            <v>3557</v>
          </cell>
          <cell r="Y76">
            <v>286.25693108748663</v>
          </cell>
          <cell r="Z76">
            <v>0</v>
          </cell>
          <cell r="AA76" t="str">
            <v>KG</v>
          </cell>
          <cell r="AB76">
            <v>0</v>
          </cell>
          <cell r="AC76">
            <v>-1.9367088607596088</v>
          </cell>
          <cell r="AD76">
            <v>-0.1558606507987034</v>
          </cell>
          <cell r="AE76" t="e">
            <v>#N/A</v>
          </cell>
          <cell r="AF76">
            <v>0</v>
          </cell>
          <cell r="AG76" t="e">
            <v>#N/A</v>
          </cell>
          <cell r="AH76" t="e">
            <v>#N/A</v>
          </cell>
          <cell r="AI76">
            <v>3557</v>
          </cell>
          <cell r="AJ76">
            <v>0</v>
          </cell>
          <cell r="AK76" t="str">
            <v>solv.Less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K77" t="str">
            <v>SO24-2358</v>
          </cell>
          <cell r="L77" t="str">
            <v>Malpani Tea(Centr Fold Side Seal)</v>
          </cell>
          <cell r="M77" t="str">
            <v>C24-2415</v>
          </cell>
          <cell r="O77" t="str">
            <v>BAL</v>
          </cell>
          <cell r="P77">
            <v>250</v>
          </cell>
          <cell r="Q77">
            <v>1</v>
          </cell>
          <cell r="R77">
            <v>250</v>
          </cell>
          <cell r="S77" t="str">
            <v>KG</v>
          </cell>
          <cell r="T77">
            <v>61.954484605087004</v>
          </cell>
          <cell r="U77">
            <v>4.7354952690580916</v>
          </cell>
          <cell r="V77" t="e">
            <v>#N/A</v>
          </cell>
          <cell r="W77" t="str">
            <v>KG</v>
          </cell>
          <cell r="X77">
            <v>63</v>
          </cell>
          <cell r="Y77">
            <v>4.8154093097913337</v>
          </cell>
          <cell r="Z77">
            <v>0</v>
          </cell>
          <cell r="AA77" t="str">
            <v>KG</v>
          </cell>
          <cell r="AB77">
            <v>0</v>
          </cell>
          <cell r="AC77">
            <v>61.954484605087004</v>
          </cell>
          <cell r="AD77">
            <v>4.7354952690580916</v>
          </cell>
          <cell r="AE77" t="e">
            <v>#N/A</v>
          </cell>
          <cell r="AF77">
            <v>0</v>
          </cell>
          <cell r="AG77" t="e">
            <v>#N/A</v>
          </cell>
          <cell r="AH77" t="e">
            <v>#N/A</v>
          </cell>
          <cell r="AI77">
            <v>0</v>
          </cell>
          <cell r="AJ77">
            <v>63</v>
          </cell>
          <cell r="AK77" t="str">
            <v>solv.Less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</row>
        <row r="78">
          <cell r="K78" t="str">
            <v>SO24-2225</v>
          </cell>
          <cell r="L78" t="str">
            <v>T-Leaf Regular 50g(Blue BG)</v>
          </cell>
          <cell r="M78" t="str">
            <v>C24-2416</v>
          </cell>
          <cell r="O78" t="str">
            <v>COMPLETED</v>
          </cell>
          <cell r="P78">
            <v>300</v>
          </cell>
          <cell r="Q78">
            <v>1</v>
          </cell>
          <cell r="R78">
            <v>300</v>
          </cell>
          <cell r="S78" t="str">
            <v>KG</v>
          </cell>
          <cell r="T78">
            <v>77.484808454425348</v>
          </cell>
          <cell r="U78">
            <v>6.0610770067604314</v>
          </cell>
          <cell r="V78" t="e">
            <v>#N/A</v>
          </cell>
          <cell r="W78" t="str">
            <v>KG</v>
          </cell>
          <cell r="X78">
            <v>83</v>
          </cell>
          <cell r="Y78">
            <v>6.4924906132665834</v>
          </cell>
          <cell r="Z78">
            <v>0</v>
          </cell>
          <cell r="AA78" t="str">
            <v>KG</v>
          </cell>
          <cell r="AB78">
            <v>0</v>
          </cell>
          <cell r="AC78">
            <v>-5.5151915455746519</v>
          </cell>
          <cell r="AD78">
            <v>-0.4314136065061524</v>
          </cell>
          <cell r="AE78" t="e">
            <v>#N/A</v>
          </cell>
          <cell r="AF78">
            <v>0</v>
          </cell>
          <cell r="AG78" t="e">
            <v>#N/A</v>
          </cell>
          <cell r="AH78" t="e">
            <v>#N/A</v>
          </cell>
          <cell r="AI78">
            <v>83</v>
          </cell>
          <cell r="AJ78">
            <v>0</v>
          </cell>
          <cell r="AK78" t="str">
            <v>solv.Less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</row>
        <row r="79">
          <cell r="K79" t="str">
            <v>SO24-2226</v>
          </cell>
          <cell r="L79" t="str">
            <v>T-Leaf Regular 100g(Blue BG)</v>
          </cell>
          <cell r="M79" t="str">
            <v>C24-2417</v>
          </cell>
          <cell r="O79" t="str">
            <v>BAL</v>
          </cell>
          <cell r="P79">
            <v>300</v>
          </cell>
          <cell r="Q79">
            <v>1</v>
          </cell>
          <cell r="R79">
            <v>300</v>
          </cell>
          <cell r="S79" t="str">
            <v>KG</v>
          </cell>
          <cell r="T79">
            <v>77.484808454425348</v>
          </cell>
          <cell r="U79">
            <v>5.1843174397447713</v>
          </cell>
          <cell r="V79" t="e">
            <v>#N/A</v>
          </cell>
          <cell r="W79" t="str">
            <v>KG</v>
          </cell>
          <cell r="X79">
            <v>80</v>
          </cell>
          <cell r="Y79">
            <v>5.352602703064365</v>
          </cell>
          <cell r="Z79">
            <v>0</v>
          </cell>
          <cell r="AA79" t="str">
            <v>KG</v>
          </cell>
          <cell r="AB79">
            <v>0</v>
          </cell>
          <cell r="AC79">
            <v>77.484808454425348</v>
          </cell>
          <cell r="AD79">
            <v>5.1843174397447713</v>
          </cell>
          <cell r="AE79" t="e">
            <v>#N/A</v>
          </cell>
          <cell r="AF79">
            <v>0</v>
          </cell>
          <cell r="AG79" t="e">
            <v>#N/A</v>
          </cell>
          <cell r="AH79" t="e">
            <v>#N/A</v>
          </cell>
          <cell r="AI79">
            <v>0</v>
          </cell>
          <cell r="AJ79">
            <v>80</v>
          </cell>
          <cell r="AK79" t="str">
            <v>solv.Less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</row>
        <row r="80">
          <cell r="K80" t="str">
            <v>SO24-2227</v>
          </cell>
          <cell r="L80" t="str">
            <v>T-Leaf Regular 250g(Blue BG)</v>
          </cell>
          <cell r="M80" t="str">
            <v>C24-2418</v>
          </cell>
          <cell r="O80" t="str">
            <v>BAL</v>
          </cell>
          <cell r="P80">
            <v>300</v>
          </cell>
          <cell r="Q80">
            <v>1</v>
          </cell>
          <cell r="R80">
            <v>300</v>
          </cell>
          <cell r="S80" t="str">
            <v>KG</v>
          </cell>
          <cell r="T80">
            <v>73.046077210460766</v>
          </cell>
          <cell r="U80">
            <v>5.9319536471057965</v>
          </cell>
          <cell r="V80" t="e">
            <v>#N/A</v>
          </cell>
          <cell r="W80" t="str">
            <v>KG</v>
          </cell>
          <cell r="X80">
            <v>80</v>
          </cell>
          <cell r="Y80">
            <v>6.4966704563911</v>
          </cell>
          <cell r="Z80">
            <v>0</v>
          </cell>
          <cell r="AA80" t="str">
            <v>KG</v>
          </cell>
          <cell r="AB80">
            <v>0</v>
          </cell>
          <cell r="AC80">
            <v>73.046077210460766</v>
          </cell>
          <cell r="AD80">
            <v>5.9319536471057965</v>
          </cell>
          <cell r="AE80" t="e">
            <v>#N/A</v>
          </cell>
          <cell r="AF80">
            <v>0</v>
          </cell>
          <cell r="AG80" t="e">
            <v>#N/A</v>
          </cell>
          <cell r="AH80" t="e">
            <v>#N/A</v>
          </cell>
          <cell r="AI80">
            <v>0</v>
          </cell>
          <cell r="AJ80">
            <v>80</v>
          </cell>
          <cell r="AK80" t="str">
            <v>solv.Less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</row>
        <row r="81">
          <cell r="K81" t="str">
            <v>SO24-2391</v>
          </cell>
          <cell r="L81" t="str">
            <v>Everyday Multitrack Spice Rs.10/- (Mircha)</v>
          </cell>
          <cell r="M81" t="str">
            <v>C24-2428</v>
          </cell>
          <cell r="O81" t="str">
            <v>BAL</v>
          </cell>
          <cell r="P81">
            <v>1000</v>
          </cell>
          <cell r="Q81">
            <v>1</v>
          </cell>
          <cell r="R81">
            <v>1000</v>
          </cell>
          <cell r="S81" t="str">
            <v>KG</v>
          </cell>
          <cell r="T81">
            <v>260.42216358839039</v>
          </cell>
          <cell r="U81">
            <v>15.139063108265923</v>
          </cell>
          <cell r="V81" t="e">
            <v>#N/A</v>
          </cell>
          <cell r="W81" t="str">
            <v>KG</v>
          </cell>
          <cell r="X81">
            <v>0</v>
          </cell>
          <cell r="Y81">
            <v>0</v>
          </cell>
          <cell r="Z81">
            <v>260.42216358839039</v>
          </cell>
          <cell r="AA81" t="str">
            <v>KG</v>
          </cell>
          <cell r="AB81">
            <v>15.139063108265923</v>
          </cell>
          <cell r="AC81">
            <v>260.42216358839039</v>
          </cell>
          <cell r="AD81">
            <v>15.139063108265923</v>
          </cell>
          <cell r="AE81" t="e">
            <v>#N/A</v>
          </cell>
          <cell r="AF81">
            <v>0</v>
          </cell>
          <cell r="AG81" t="e">
            <v>#N/A</v>
          </cell>
          <cell r="AH81" t="e">
            <v>#N/A</v>
          </cell>
          <cell r="AI81">
            <v>0</v>
          </cell>
          <cell r="AJ81">
            <v>0</v>
          </cell>
          <cell r="AK81" t="str">
            <v>solv.Less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K82" t="str">
            <v>SO24-2428</v>
          </cell>
          <cell r="L82" t="str">
            <v>Plain pouch stand up without zipper(4x4) High GSM</v>
          </cell>
          <cell r="M82" t="str">
            <v>C24-2429</v>
          </cell>
          <cell r="O82" t="str">
            <v>BAL</v>
          </cell>
          <cell r="P82">
            <v>200</v>
          </cell>
          <cell r="Q82">
            <v>1</v>
          </cell>
          <cell r="R82">
            <v>200</v>
          </cell>
          <cell r="S82" t="str">
            <v>KG</v>
          </cell>
          <cell r="T82" t="e">
            <v>#DIV/0!</v>
          </cell>
          <cell r="U82" t="e">
            <v>#DIV/0!</v>
          </cell>
          <cell r="V82" t="e">
            <v>#DIV/0!</v>
          </cell>
          <cell r="W82" t="str">
            <v>KG</v>
          </cell>
          <cell r="X82">
            <v>0</v>
          </cell>
          <cell r="Y82" t="e">
            <v>#DIV/0!</v>
          </cell>
          <cell r="Z82" t="e">
            <v>#DIV/0!</v>
          </cell>
          <cell r="AA82" t="str">
            <v>KG</v>
          </cell>
          <cell r="AB82" t="e">
            <v>#DIV/0!</v>
          </cell>
          <cell r="AC82" t="e">
            <v>#DIV/0!</v>
          </cell>
          <cell r="AD82" t="e">
            <v>#DIV/0!</v>
          </cell>
          <cell r="AE82" t="e">
            <v>#N/A</v>
          </cell>
          <cell r="AF82">
            <v>0</v>
          </cell>
          <cell r="AG82" t="e">
            <v>#N/A</v>
          </cell>
          <cell r="AH82" t="e">
            <v>#N/A</v>
          </cell>
          <cell r="AI82">
            <v>0</v>
          </cell>
          <cell r="AJ82">
            <v>0</v>
          </cell>
          <cell r="AK82">
            <v>0</v>
          </cell>
          <cell r="AL82" t="e">
            <v>#DIV/0!</v>
          </cell>
          <cell r="AM82">
            <v>0</v>
          </cell>
          <cell r="AN82">
            <v>0</v>
          </cell>
          <cell r="AO82">
            <v>0</v>
          </cell>
        </row>
        <row r="83">
          <cell r="K83" t="str">
            <v>SO24-2454</v>
          </cell>
          <cell r="L83" t="str">
            <v>KORANGANI TEA RS./10-(NEW)</v>
          </cell>
          <cell r="M83" t="str">
            <v>C24-2432</v>
          </cell>
          <cell r="O83" t="str">
            <v>COMPLETED</v>
          </cell>
          <cell r="P83">
            <v>500</v>
          </cell>
          <cell r="Q83">
            <v>1</v>
          </cell>
          <cell r="R83">
            <v>500</v>
          </cell>
          <cell r="S83" t="str">
            <v>KG</v>
          </cell>
          <cell r="T83">
            <v>130.55555555555554</v>
          </cell>
          <cell r="U83">
            <v>10.212418300653594</v>
          </cell>
          <cell r="V83" t="e">
            <v>#N/A</v>
          </cell>
          <cell r="W83" t="str">
            <v>KG</v>
          </cell>
          <cell r="X83">
            <v>133</v>
          </cell>
          <cell r="Y83">
            <v>10.403629536921152</v>
          </cell>
          <cell r="Z83">
            <v>0</v>
          </cell>
          <cell r="AA83" t="str">
            <v>KG</v>
          </cell>
          <cell r="AB83">
            <v>0</v>
          </cell>
          <cell r="AC83">
            <v>-2.4444444444444571</v>
          </cell>
          <cell r="AD83">
            <v>-0.19121123626755768</v>
          </cell>
          <cell r="AE83" t="e">
            <v>#N/A</v>
          </cell>
          <cell r="AF83">
            <v>0</v>
          </cell>
          <cell r="AG83" t="e">
            <v>#N/A</v>
          </cell>
          <cell r="AH83" t="e">
            <v>#N/A</v>
          </cell>
          <cell r="AI83">
            <v>133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4">
          <cell r="K84" t="str">
            <v>SO24-2449</v>
          </cell>
          <cell r="L84" t="str">
            <v>Henko DP LAMI 1Kg Roll R2 (4000004676)</v>
          </cell>
          <cell r="M84" t="str">
            <v>C24-2437</v>
          </cell>
          <cell r="O84" t="str">
            <v>BAL</v>
          </cell>
          <cell r="P84">
            <v>2600</v>
          </cell>
          <cell r="Q84">
            <v>1</v>
          </cell>
          <cell r="R84">
            <v>2600</v>
          </cell>
          <cell r="S84" t="str">
            <v>KG</v>
          </cell>
          <cell r="T84">
            <v>401.07737512242903</v>
          </cell>
          <cell r="U84">
            <v>30.911551069166016</v>
          </cell>
          <cell r="V84" t="e">
            <v>#N/A</v>
          </cell>
          <cell r="W84" t="str">
            <v>KG</v>
          </cell>
          <cell r="X84">
            <v>433</v>
          </cell>
          <cell r="Y84">
            <v>33.371868978805395</v>
          </cell>
          <cell r="Z84">
            <v>0</v>
          </cell>
          <cell r="AA84" t="str">
            <v>KG</v>
          </cell>
          <cell r="AB84">
            <v>0</v>
          </cell>
          <cell r="AC84">
            <v>401.07737512242903</v>
          </cell>
          <cell r="AD84">
            <v>30.911551069166016</v>
          </cell>
          <cell r="AE84" t="e">
            <v>#N/A</v>
          </cell>
          <cell r="AF84">
            <v>0</v>
          </cell>
          <cell r="AG84" t="e">
            <v>#N/A</v>
          </cell>
          <cell r="AH84" t="e">
            <v>#N/A</v>
          </cell>
          <cell r="AI84">
            <v>0</v>
          </cell>
          <cell r="AJ84">
            <v>433</v>
          </cell>
          <cell r="AK84" t="str">
            <v>solv.Less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</row>
        <row r="85">
          <cell r="K85" t="str">
            <v>SO24-2380</v>
          </cell>
          <cell r="L85" t="str">
            <v>Abhinav Spicy Noodles Bhujia Rs 5/-</v>
          </cell>
          <cell r="M85" t="str">
            <v>C24-2440</v>
          </cell>
          <cell r="O85" t="str">
            <v>BAL</v>
          </cell>
          <cell r="P85">
            <v>4000</v>
          </cell>
          <cell r="Q85">
            <v>1</v>
          </cell>
          <cell r="R85">
            <v>4000</v>
          </cell>
          <cell r="S85" t="str">
            <v>KG</v>
          </cell>
          <cell r="T85">
            <v>1045.7086484708977</v>
          </cell>
          <cell r="U85">
            <v>68.013570632253519</v>
          </cell>
          <cell r="V85" t="e">
            <v>#N/A</v>
          </cell>
          <cell r="W85" t="str">
            <v>KG</v>
          </cell>
          <cell r="X85">
            <v>1060</v>
          </cell>
          <cell r="Y85">
            <v>68.943089430894318</v>
          </cell>
          <cell r="Z85">
            <v>0</v>
          </cell>
          <cell r="AA85" t="str">
            <v>KG</v>
          </cell>
          <cell r="AB85">
            <v>0</v>
          </cell>
          <cell r="AC85">
            <v>-14.291351529102258</v>
          </cell>
          <cell r="AD85">
            <v>-0.92951879864079734</v>
          </cell>
          <cell r="AE85" t="e">
            <v>#N/A</v>
          </cell>
          <cell r="AF85">
            <v>0</v>
          </cell>
          <cell r="AG85" t="e">
            <v>#N/A</v>
          </cell>
          <cell r="AH85" t="e">
            <v>#N/A</v>
          </cell>
          <cell r="AI85">
            <v>1060</v>
          </cell>
          <cell r="AJ85">
            <v>0</v>
          </cell>
          <cell r="AK85" t="str">
            <v>Extrusion</v>
          </cell>
          <cell r="AL85">
            <v>2691.3752055244981</v>
          </cell>
          <cell r="AM85">
            <v>2703</v>
          </cell>
          <cell r="AN85">
            <v>0</v>
          </cell>
          <cell r="AO85">
            <v>2703</v>
          </cell>
        </row>
        <row r="86">
          <cell r="K86" t="str">
            <v>SO24-2405</v>
          </cell>
          <cell r="L86" t="str">
            <v>AMRIT FOODS SUPERFINE ATTA 1KG</v>
          </cell>
          <cell r="M86" t="str">
            <v>C24-2443</v>
          </cell>
          <cell r="O86" t="str">
            <v>COMPLETED</v>
          </cell>
          <cell r="P86">
            <v>4000</v>
          </cell>
          <cell r="Q86">
            <v>1</v>
          </cell>
          <cell r="R86">
            <v>4000</v>
          </cell>
          <cell r="S86" t="str">
            <v>KG</v>
          </cell>
          <cell r="T86">
            <v>1033.4682484298673</v>
          </cell>
          <cell r="U86">
            <v>67.906449072203671</v>
          </cell>
          <cell r="V86" t="e">
            <v>#N/A</v>
          </cell>
          <cell r="W86" t="str">
            <v>KG</v>
          </cell>
          <cell r="X86">
            <v>1040</v>
          </cell>
          <cell r="Y86">
            <v>68.335633090216191</v>
          </cell>
          <cell r="Z86">
            <v>0</v>
          </cell>
          <cell r="AA86" t="str">
            <v>KG</v>
          </cell>
          <cell r="AB86">
            <v>0</v>
          </cell>
          <cell r="AC86">
            <v>-6.5317515701326556</v>
          </cell>
          <cell r="AD86">
            <v>-0.42918401801252754</v>
          </cell>
          <cell r="AE86" t="e">
            <v>#N/A</v>
          </cell>
          <cell r="AF86">
            <v>0</v>
          </cell>
          <cell r="AG86" t="e">
            <v>#N/A</v>
          </cell>
          <cell r="AH86" t="e">
            <v>#N/A</v>
          </cell>
          <cell r="AI86">
            <v>1040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</row>
        <row r="87">
          <cell r="K87" t="str">
            <v>SO24-2430</v>
          </cell>
          <cell r="L87" t="str">
            <v>ASIAN THAI RUMPUM VEG OUTER RS 5/-[230MM-10/20.]</v>
          </cell>
          <cell r="M87" t="str">
            <v>C24-2446</v>
          </cell>
          <cell r="O87" t="str">
            <v>BAL</v>
          </cell>
          <cell r="P87">
            <v>1000</v>
          </cell>
          <cell r="Q87">
            <v>1</v>
          </cell>
          <cell r="R87">
            <v>1000</v>
          </cell>
          <cell r="S87" t="str">
            <v>KG</v>
          </cell>
          <cell r="T87">
            <v>465.67796610169484</v>
          </cell>
          <cell r="U87">
            <v>25.460100385538656</v>
          </cell>
          <cell r="V87" t="e">
            <v>#N/A</v>
          </cell>
          <cell r="W87" t="str">
            <v>KG</v>
          </cell>
          <cell r="X87">
            <v>483</v>
          </cell>
          <cell r="Y87">
            <v>26.407151253382903</v>
          </cell>
          <cell r="Z87">
            <v>0</v>
          </cell>
          <cell r="AA87" t="str">
            <v>KG</v>
          </cell>
          <cell r="AB87">
            <v>0</v>
          </cell>
          <cell r="AC87">
            <v>465.67796610169484</v>
          </cell>
          <cell r="AD87">
            <v>25.460100385538656</v>
          </cell>
          <cell r="AE87" t="e">
            <v>#N/A</v>
          </cell>
          <cell r="AF87">
            <v>0</v>
          </cell>
          <cell r="AG87" t="e">
            <v>#N/A</v>
          </cell>
          <cell r="AH87" t="e">
            <v>#N/A</v>
          </cell>
          <cell r="AI87">
            <v>0</v>
          </cell>
          <cell r="AJ87">
            <v>483</v>
          </cell>
          <cell r="AK87" t="str">
            <v>solv.Less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</row>
        <row r="88">
          <cell r="K88" t="str">
            <v>SO24-2431</v>
          </cell>
          <cell r="L88" t="str">
            <v>ASIAN THAI RUMPUM NON-VEG OUTER RS 5/-[230MM-10/20.]</v>
          </cell>
          <cell r="M88" t="str">
            <v>C24-2447</v>
          </cell>
          <cell r="O88" t="str">
            <v>BAL</v>
          </cell>
          <cell r="P88">
            <v>2000</v>
          </cell>
          <cell r="Q88">
            <v>1</v>
          </cell>
          <cell r="R88">
            <v>2000</v>
          </cell>
          <cell r="S88" t="str">
            <v>KG</v>
          </cell>
          <cell r="T88">
            <v>931.35593220338967</v>
          </cell>
          <cell r="U88">
            <v>50.920200771077312</v>
          </cell>
          <cell r="V88" t="e">
            <v>#N/A</v>
          </cell>
          <cell r="W88" t="str">
            <v>KG</v>
          </cell>
          <cell r="X88">
            <v>911</v>
          </cell>
          <cell r="Y88">
            <v>49.807277001722206</v>
          </cell>
          <cell r="Z88">
            <v>20.355932203389671</v>
          </cell>
          <cell r="AA88" t="str">
            <v>KG</v>
          </cell>
          <cell r="AB88">
            <v>1.1129237693551062</v>
          </cell>
          <cell r="AC88">
            <v>931.35593220338967</v>
          </cell>
          <cell r="AD88">
            <v>50.920200771077312</v>
          </cell>
          <cell r="AE88" t="e">
            <v>#N/A</v>
          </cell>
          <cell r="AF88">
            <v>0</v>
          </cell>
          <cell r="AG88" t="e">
            <v>#N/A</v>
          </cell>
          <cell r="AH88" t="e">
            <v>#N/A</v>
          </cell>
          <cell r="AI88">
            <v>0</v>
          </cell>
          <cell r="AJ88">
            <v>911</v>
          </cell>
          <cell r="AK88" t="str">
            <v>solv.Less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</row>
        <row r="89">
          <cell r="K89" t="str">
            <v>SO24-2432</v>
          </cell>
          <cell r="L89" t="str">
            <v>ASIAN N-JOY - NOODLES RS 5/-  NON-VEG-[OUTER][CW-230MM][10/20]</v>
          </cell>
          <cell r="M89" t="str">
            <v>C24-2448</v>
          </cell>
          <cell r="O89" t="str">
            <v>BAL</v>
          </cell>
          <cell r="P89">
            <v>1500</v>
          </cell>
          <cell r="Q89">
            <v>1</v>
          </cell>
          <cell r="R89">
            <v>1500</v>
          </cell>
          <cell r="S89" t="str">
            <v>KG</v>
          </cell>
          <cell r="T89">
            <v>696.54929577464793</v>
          </cell>
          <cell r="U89">
            <v>38.082572689355018</v>
          </cell>
          <cell r="V89">
            <v>1591.9027972558183</v>
          </cell>
          <cell r="W89" t="str">
            <v>KG</v>
          </cell>
          <cell r="X89">
            <v>756</v>
          </cell>
          <cell r="Y89">
            <v>41.332932396599325</v>
          </cell>
          <cell r="Z89">
            <v>0</v>
          </cell>
          <cell r="AA89" t="str">
            <v>KG</v>
          </cell>
          <cell r="AB89">
            <v>0</v>
          </cell>
          <cell r="AC89">
            <v>696.54929577464793</v>
          </cell>
          <cell r="AD89">
            <v>38.082572689355018</v>
          </cell>
          <cell r="AE89">
            <v>1.1499999999999999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756</v>
          </cell>
          <cell r="AK89" t="str">
            <v>solv.Less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</row>
        <row r="90">
          <cell r="K90" t="str">
            <v>SO24-2433</v>
          </cell>
          <cell r="L90" t="str">
            <v>ASIAN THAI-2MIN-MAZZA VEG OUTER RS 5/- [230MM-12/25.]</v>
          </cell>
          <cell r="M90" t="str">
            <v>C24-2449</v>
          </cell>
          <cell r="O90" t="str">
            <v>BAL</v>
          </cell>
          <cell r="P90">
            <v>3000</v>
          </cell>
          <cell r="Q90">
            <v>1</v>
          </cell>
          <cell r="R90">
            <v>3000</v>
          </cell>
          <cell r="S90" t="str">
            <v>KG</v>
          </cell>
          <cell r="T90">
            <v>1271.722543352601</v>
          </cell>
          <cell r="U90">
            <v>61.326254682577094</v>
          </cell>
          <cell r="V90" t="e">
            <v>#N/A</v>
          </cell>
          <cell r="W90" t="str">
            <v>KG</v>
          </cell>
          <cell r="X90">
            <v>0</v>
          </cell>
          <cell r="Y90">
            <v>0</v>
          </cell>
          <cell r="Z90">
            <v>1271.722543352601</v>
          </cell>
          <cell r="AA90" t="str">
            <v>KG</v>
          </cell>
          <cell r="AB90">
            <v>61.326254682577094</v>
          </cell>
          <cell r="AC90">
            <v>1271.722543352601</v>
          </cell>
          <cell r="AD90">
            <v>61.326254682577094</v>
          </cell>
          <cell r="AE90" t="e">
            <v>#N/A</v>
          </cell>
          <cell r="AF90">
            <v>0</v>
          </cell>
          <cell r="AG90" t="e">
            <v>#N/A</v>
          </cell>
          <cell r="AH90" t="e">
            <v>#N/A</v>
          </cell>
          <cell r="AI90">
            <v>0</v>
          </cell>
          <cell r="AJ90">
            <v>0</v>
          </cell>
          <cell r="AK90" t="str">
            <v>solv.Less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</row>
        <row r="91">
          <cell r="K91" t="str">
            <v>SO24-2435</v>
          </cell>
          <cell r="L91" t="str">
            <v>ASIAN PIK VIK CHICKEN NOODLES BITS RS 1[12/30W]</v>
          </cell>
          <cell r="M91" t="str">
            <v>C24-2451</v>
          </cell>
          <cell r="O91" t="str">
            <v>BAL</v>
          </cell>
          <cell r="P91">
            <v>2000</v>
          </cell>
          <cell r="Q91">
            <v>1</v>
          </cell>
          <cell r="R91">
            <v>2000</v>
          </cell>
          <cell r="S91" t="str">
            <v>KG</v>
          </cell>
          <cell r="T91">
            <v>763.91666666666652</v>
          </cell>
          <cell r="U91">
            <v>50.194931773879141</v>
          </cell>
          <cell r="V91">
            <v>0</v>
          </cell>
          <cell r="W91" t="str">
            <v>KG</v>
          </cell>
          <cell r="X91">
            <v>0</v>
          </cell>
          <cell r="Y91">
            <v>0</v>
          </cell>
          <cell r="Z91">
            <v>763.91666666666652</v>
          </cell>
          <cell r="AA91" t="str">
            <v>KG</v>
          </cell>
          <cell r="AB91">
            <v>50.194931773879141</v>
          </cell>
          <cell r="AC91">
            <v>763.91666666666652</v>
          </cell>
          <cell r="AD91">
            <v>50.194931773879141</v>
          </cell>
          <cell r="AE91">
            <v>0.84</v>
          </cell>
          <cell r="AF91">
            <v>0</v>
          </cell>
          <cell r="AG91">
            <v>0</v>
          </cell>
          <cell r="AH91">
            <v>50.194931773879141</v>
          </cell>
          <cell r="AI91">
            <v>0</v>
          </cell>
          <cell r="AJ91">
            <v>0</v>
          </cell>
          <cell r="AK91" t="str">
            <v>solv.Less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</row>
        <row r="92">
          <cell r="K92" t="str">
            <v>SO24-2436</v>
          </cell>
          <cell r="L92" t="str">
            <v>ASIAN- RUMPUM -VEG SEASONING INNER[12/40]</v>
          </cell>
          <cell r="M92" t="str">
            <v>C24-2452</v>
          </cell>
          <cell r="O92" t="str">
            <v>BAL</v>
          </cell>
          <cell r="P92">
            <v>1000</v>
          </cell>
          <cell r="Q92">
            <v>1</v>
          </cell>
          <cell r="R92">
            <v>1000</v>
          </cell>
          <cell r="S92" t="str">
            <v>KG</v>
          </cell>
          <cell r="T92">
            <v>326.80926916221028</v>
          </cell>
          <cell r="U92">
            <v>15.625592596806614</v>
          </cell>
          <cell r="V92">
            <v>959.85331462929457</v>
          </cell>
          <cell r="W92" t="str">
            <v>KG</v>
          </cell>
          <cell r="X92">
            <v>327</v>
          </cell>
          <cell r="Y92">
            <v>15.63471192923739</v>
          </cell>
          <cell r="Z92">
            <v>0</v>
          </cell>
          <cell r="AA92" t="str">
            <v>KG</v>
          </cell>
          <cell r="AB92">
            <v>0</v>
          </cell>
          <cell r="AC92">
            <v>326.80926916221028</v>
          </cell>
          <cell r="AD92">
            <v>15.625592596806614</v>
          </cell>
          <cell r="AE92">
            <v>1.1599999999999999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327</v>
          </cell>
          <cell r="AK92" t="str">
            <v>solv.Less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</row>
        <row r="93">
          <cell r="K93" t="str">
            <v>SO24-2437</v>
          </cell>
          <cell r="L93" t="str">
            <v>ASIAN -RUMPUM NON VEG SEASONING  INNER[12/40]</v>
          </cell>
          <cell r="M93" t="str">
            <v>C24-2453</v>
          </cell>
          <cell r="O93" t="str">
            <v>BAL</v>
          </cell>
          <cell r="P93">
            <v>3000</v>
          </cell>
          <cell r="Q93">
            <v>1</v>
          </cell>
          <cell r="R93">
            <v>3000</v>
          </cell>
          <cell r="S93" t="str">
            <v>KG</v>
          </cell>
          <cell r="T93">
            <v>980.42780748663085</v>
          </cell>
          <cell r="U93">
            <v>46.876777790419844</v>
          </cell>
          <cell r="V93">
            <v>2876.6246126504857</v>
          </cell>
          <cell r="W93" t="str">
            <v>KG</v>
          </cell>
          <cell r="X93">
            <v>980</v>
          </cell>
          <cell r="Y93">
            <v>46.856323213005027</v>
          </cell>
          <cell r="Z93">
            <v>0.42780748663085433</v>
          </cell>
          <cell r="AA93" t="str">
            <v>KG</v>
          </cell>
          <cell r="AB93">
            <v>2.0454577414817265E-2</v>
          </cell>
          <cell r="AC93">
            <v>980.42780748663085</v>
          </cell>
          <cell r="AD93">
            <v>46.876777790419844</v>
          </cell>
          <cell r="AE93">
            <v>1.1599999999999999</v>
          </cell>
          <cell r="AF93">
            <v>0</v>
          </cell>
          <cell r="AG93">
            <v>0</v>
          </cell>
          <cell r="AH93">
            <v>2.0454577414817265E-2</v>
          </cell>
          <cell r="AI93">
            <v>0</v>
          </cell>
          <cell r="AJ93">
            <v>980</v>
          </cell>
          <cell r="AK93" t="str">
            <v>solv.Less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</row>
        <row r="94">
          <cell r="K94" t="str">
            <v>SO24-2438</v>
          </cell>
          <cell r="L94" t="str">
            <v>Asian- Thai N-Joy (NON VEG)SEASONING INNER [12/40]</v>
          </cell>
          <cell r="M94" t="str">
            <v>C24-2454</v>
          </cell>
          <cell r="O94" t="str">
            <v>BAL</v>
          </cell>
          <cell r="P94">
            <v>1000</v>
          </cell>
          <cell r="Q94">
            <v>1</v>
          </cell>
          <cell r="R94">
            <v>1000</v>
          </cell>
          <cell r="S94" t="str">
            <v>KG</v>
          </cell>
          <cell r="T94">
            <v>323.63636363636357</v>
          </cell>
          <cell r="U94">
            <v>15.473887814313343</v>
          </cell>
          <cell r="V94">
            <v>924.62933978051331</v>
          </cell>
          <cell r="W94" t="str">
            <v>KG</v>
          </cell>
          <cell r="X94">
            <v>315</v>
          </cell>
          <cell r="Y94">
            <v>15.060961032751615</v>
          </cell>
          <cell r="Z94">
            <v>8.6363636363635692</v>
          </cell>
          <cell r="AA94" t="str">
            <v>KG</v>
          </cell>
          <cell r="AB94">
            <v>0.41292678156172791</v>
          </cell>
          <cell r="AC94">
            <v>323.63636363636357</v>
          </cell>
          <cell r="AD94">
            <v>15.473887814313343</v>
          </cell>
          <cell r="AE94">
            <v>1.1599999999999999</v>
          </cell>
          <cell r="AF94">
            <v>0</v>
          </cell>
          <cell r="AG94">
            <v>0</v>
          </cell>
          <cell r="AH94">
            <v>0.41292678156172791</v>
          </cell>
          <cell r="AI94">
            <v>0</v>
          </cell>
          <cell r="AJ94">
            <v>315</v>
          </cell>
          <cell r="AK94" t="str">
            <v>solv.Less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</row>
        <row r="95">
          <cell r="K95" t="str">
            <v>SO24-2440</v>
          </cell>
          <cell r="L95" t="str">
            <v>TRYMEE NON-VEG-SEASONING INNER[145MM,12/40]</v>
          </cell>
          <cell r="M95" t="str">
            <v>C24-2456</v>
          </cell>
          <cell r="O95" t="str">
            <v>BAL</v>
          </cell>
          <cell r="P95">
            <v>500</v>
          </cell>
          <cell r="Q95">
            <v>1</v>
          </cell>
          <cell r="R95">
            <v>500</v>
          </cell>
          <cell r="S95" t="str">
            <v>KG</v>
          </cell>
          <cell r="T95">
            <v>164.19786096256681</v>
          </cell>
          <cell r="U95">
            <v>7.8507224940266234</v>
          </cell>
          <cell r="V95">
            <v>510.74763530733111</v>
          </cell>
          <cell r="W95" t="str">
            <v>KG</v>
          </cell>
          <cell r="X95">
            <v>174</v>
          </cell>
          <cell r="Y95">
            <v>8.3193879990437498</v>
          </cell>
          <cell r="Z95">
            <v>0</v>
          </cell>
          <cell r="AA95" t="str">
            <v>KG</v>
          </cell>
          <cell r="AB95">
            <v>0</v>
          </cell>
          <cell r="AC95">
            <v>164.19786096256681</v>
          </cell>
          <cell r="AD95">
            <v>7.8507224940266234</v>
          </cell>
          <cell r="AE95">
            <v>1.1599999999999999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174</v>
          </cell>
          <cell r="AK95" t="str">
            <v>solv.Less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</row>
        <row r="96">
          <cell r="K96" t="str">
            <v>SO24-2332</v>
          </cell>
          <cell r="L96" t="str">
            <v>EVERYDAY SPICE CLOVE(LONG) Rs.10/-</v>
          </cell>
          <cell r="M96" t="str">
            <v>C24-2458</v>
          </cell>
          <cell r="O96" t="str">
            <v>BAL</v>
          </cell>
          <cell r="P96">
            <v>1000</v>
          </cell>
          <cell r="Q96">
            <v>1</v>
          </cell>
          <cell r="R96">
            <v>1000</v>
          </cell>
          <cell r="S96" t="str">
            <v>KG</v>
          </cell>
          <cell r="T96">
            <v>260.42216358839039</v>
          </cell>
          <cell r="U96">
            <v>14.207428455449559</v>
          </cell>
          <cell r="V96" t="e">
            <v>#N/A</v>
          </cell>
          <cell r="W96" t="str">
            <v>KG</v>
          </cell>
          <cell r="X96">
            <v>273</v>
          </cell>
          <cell r="Y96">
            <v>14.893617021276597</v>
          </cell>
          <cell r="Z96">
            <v>0</v>
          </cell>
          <cell r="AA96" t="str">
            <v>KG</v>
          </cell>
          <cell r="AB96">
            <v>0</v>
          </cell>
          <cell r="AC96">
            <v>260.42216358839039</v>
          </cell>
          <cell r="AD96">
            <v>14.207428455449559</v>
          </cell>
          <cell r="AE96" t="e">
            <v>#N/A</v>
          </cell>
          <cell r="AF96">
            <v>0</v>
          </cell>
          <cell r="AG96" t="e">
            <v>#N/A</v>
          </cell>
          <cell r="AH96" t="e">
            <v>#N/A</v>
          </cell>
          <cell r="AI96">
            <v>0</v>
          </cell>
          <cell r="AJ96">
            <v>273</v>
          </cell>
          <cell r="AK96" t="str">
            <v>solv.Less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</row>
        <row r="97">
          <cell r="K97" t="str">
            <v>SO24-2423</v>
          </cell>
          <cell r="L97" t="str">
            <v>Non Stop Onion Rin-Goo 5/-(300*200)</v>
          </cell>
          <cell r="M97" t="str">
            <v>C24-2464</v>
          </cell>
          <cell r="O97" t="str">
            <v>BAL</v>
          </cell>
          <cell r="P97">
            <v>1000</v>
          </cell>
          <cell r="Q97">
            <v>1</v>
          </cell>
          <cell r="R97">
            <v>1000</v>
          </cell>
          <cell r="S97" t="str">
            <v>KG</v>
          </cell>
          <cell r="T97">
            <v>259.38735177865613</v>
          </cell>
          <cell r="U97">
            <v>18.694583911975215</v>
          </cell>
          <cell r="V97" t="e">
            <v>#N/A</v>
          </cell>
          <cell r="W97" t="str">
            <v>KG</v>
          </cell>
          <cell r="X97">
            <v>0</v>
          </cell>
          <cell r="Y97">
            <v>0</v>
          </cell>
          <cell r="Z97">
            <v>259.38735177865613</v>
          </cell>
          <cell r="AA97" t="str">
            <v>KG</v>
          </cell>
          <cell r="AB97">
            <v>18.694583911975215</v>
          </cell>
          <cell r="AC97">
            <v>259.38735177865613</v>
          </cell>
          <cell r="AD97">
            <v>18.694583911975215</v>
          </cell>
          <cell r="AE97" t="e">
            <v>#N/A</v>
          </cell>
          <cell r="AF97">
            <v>18.694583911975215</v>
          </cell>
          <cell r="AG97" t="e">
            <v>#N/A</v>
          </cell>
          <cell r="AH97" t="e">
            <v>#N/A</v>
          </cell>
          <cell r="AI97">
            <v>0</v>
          </cell>
          <cell r="AJ97">
            <v>0</v>
          </cell>
          <cell r="AK97" t="str">
            <v>Extrusion</v>
          </cell>
          <cell r="AL97">
            <v>667.59387351778639</v>
          </cell>
          <cell r="AM97">
            <v>0</v>
          </cell>
          <cell r="AN97">
            <v>0</v>
          </cell>
          <cell r="AO97">
            <v>0</v>
          </cell>
        </row>
        <row r="98">
          <cell r="K98" t="str">
            <v>SO24-2426</v>
          </cell>
          <cell r="L98" t="str">
            <v>Non Stop Crunchy Poochka Rs 5/- (320x200)</v>
          </cell>
          <cell r="M98" t="str">
            <v>C24-2467</v>
          </cell>
          <cell r="N98" t="str">
            <v>Cyliner NA</v>
          </cell>
          <cell r="O98" t="str">
            <v>BAL</v>
          </cell>
          <cell r="P98">
            <v>2500</v>
          </cell>
          <cell r="Q98">
            <v>1</v>
          </cell>
          <cell r="R98">
            <v>2500</v>
          </cell>
          <cell r="S98" t="str">
            <v>KG</v>
          </cell>
          <cell r="T98">
            <v>769.51581027667976</v>
          </cell>
          <cell r="U98">
            <v>43.889568828875831</v>
          </cell>
          <cell r="V98" t="e">
            <v>#N/A</v>
          </cell>
          <cell r="W98" t="str">
            <v>KG</v>
          </cell>
          <cell r="X98">
            <v>0</v>
          </cell>
          <cell r="Y98">
            <v>0</v>
          </cell>
          <cell r="Z98">
            <v>769.51581027667976</v>
          </cell>
          <cell r="AA98" t="str">
            <v>KG</v>
          </cell>
          <cell r="AB98">
            <v>43.889568828875831</v>
          </cell>
          <cell r="AC98">
            <v>769.51581027667976</v>
          </cell>
          <cell r="AD98">
            <v>43.889568828875831</v>
          </cell>
          <cell r="AE98" t="e">
            <v>#N/A</v>
          </cell>
          <cell r="AF98">
            <v>43.889568828875831</v>
          </cell>
          <cell r="AG98" t="e">
            <v>#N/A</v>
          </cell>
          <cell r="AH98" t="e">
            <v>#N/A</v>
          </cell>
          <cell r="AI98">
            <v>0</v>
          </cell>
          <cell r="AJ98">
            <v>0</v>
          </cell>
          <cell r="AK98" t="str">
            <v>Extrusion</v>
          </cell>
          <cell r="AL98">
            <v>1668.9846837944667</v>
          </cell>
          <cell r="AM98">
            <v>0</v>
          </cell>
          <cell r="AN98">
            <v>0</v>
          </cell>
          <cell r="AO98">
            <v>0</v>
          </cell>
        </row>
        <row r="99">
          <cell r="K99" t="str">
            <v>SO24-2448</v>
          </cell>
          <cell r="L99" t="str">
            <v>ASIAN TRY MEE CHICKEN NOODLES BITS RS 1/-[12/30W]</v>
          </cell>
          <cell r="M99" t="str">
            <v>C24-2469</v>
          </cell>
          <cell r="O99" t="str">
            <v>BAL</v>
          </cell>
          <cell r="P99">
            <v>1000</v>
          </cell>
          <cell r="Q99">
            <v>1</v>
          </cell>
          <cell r="R99">
            <v>1000</v>
          </cell>
          <cell r="S99" t="str">
            <v>KG</v>
          </cell>
          <cell r="T99">
            <v>381.95833333333326</v>
          </cell>
          <cell r="U99">
            <v>25.09746588693957</v>
          </cell>
          <cell r="V99">
            <v>0</v>
          </cell>
          <cell r="W99" t="str">
            <v>KG</v>
          </cell>
          <cell r="X99">
            <v>0</v>
          </cell>
          <cell r="Y99">
            <v>0</v>
          </cell>
          <cell r="Z99">
            <v>381.95833333333326</v>
          </cell>
          <cell r="AA99" t="str">
            <v>KG</v>
          </cell>
          <cell r="AB99">
            <v>25.09746588693957</v>
          </cell>
          <cell r="AC99">
            <v>381.95833333333326</v>
          </cell>
          <cell r="AD99">
            <v>25.09746588693957</v>
          </cell>
          <cell r="AE99">
            <v>0.84</v>
          </cell>
          <cell r="AF99">
            <v>0</v>
          </cell>
          <cell r="AG99">
            <v>0</v>
          </cell>
          <cell r="AH99">
            <v>25.09746588693957</v>
          </cell>
          <cell r="AI99">
            <v>0</v>
          </cell>
          <cell r="AJ99">
            <v>0</v>
          </cell>
          <cell r="AK99" t="str">
            <v>solv.Less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K100" t="str">
            <v>SO24-2456</v>
          </cell>
          <cell r="L100" t="str">
            <v>MYSTIC NAMKEEN 5 IN 1(Moong dal+punjabi tadka+bikaneri bhujia+chakna+Khasta)</v>
          </cell>
          <cell r="M100" t="str">
            <v>C24-2472</v>
          </cell>
          <cell r="O100" t="str">
            <v>BAL</v>
          </cell>
          <cell r="P100">
            <v>1000</v>
          </cell>
          <cell r="Q100">
            <v>1</v>
          </cell>
          <cell r="R100">
            <v>1000</v>
          </cell>
          <cell r="S100" t="str">
            <v>KG</v>
          </cell>
          <cell r="T100">
            <v>252.32297340595963</v>
          </cell>
          <cell r="U100">
            <v>16.411250302826645</v>
          </cell>
          <cell r="V100">
            <v>995.80917318607158</v>
          </cell>
          <cell r="W100" t="str">
            <v>KG</v>
          </cell>
          <cell r="X100">
            <v>260</v>
          </cell>
          <cell r="Y100">
            <v>16.91056910569106</v>
          </cell>
          <cell r="Z100">
            <v>0</v>
          </cell>
          <cell r="AA100" t="str">
            <v>KG</v>
          </cell>
          <cell r="AB100">
            <v>0</v>
          </cell>
          <cell r="AC100">
            <v>-7.6770265940403704</v>
          </cell>
          <cell r="AD100">
            <v>-0.49931880286441438</v>
          </cell>
          <cell r="AE100">
            <v>1</v>
          </cell>
          <cell r="AF100">
            <v>0</v>
          </cell>
          <cell r="AG100">
            <v>0</v>
          </cell>
          <cell r="AH100">
            <v>0</v>
          </cell>
          <cell r="AI100">
            <v>260</v>
          </cell>
          <cell r="AJ100">
            <v>0</v>
          </cell>
          <cell r="AK100" t="str">
            <v>solv.Less</v>
          </cell>
          <cell r="AL100">
            <v>649.41204742069851</v>
          </cell>
          <cell r="AM100">
            <v>657</v>
          </cell>
          <cell r="AN100">
            <v>0</v>
          </cell>
          <cell r="AO100">
            <v>657</v>
          </cell>
        </row>
        <row r="101">
          <cell r="K101" t="str">
            <v>SO24-2457</v>
          </cell>
          <cell r="L101" t="str">
            <v>MAMAJI -G-NAMKEEN BIKANERI TASTE Rs 10/-[ITEM 20]</v>
          </cell>
          <cell r="M101" t="str">
            <v>C24-2473</v>
          </cell>
          <cell r="O101" t="str">
            <v>BAL</v>
          </cell>
          <cell r="P101">
            <v>300</v>
          </cell>
          <cell r="Q101">
            <v>1</v>
          </cell>
          <cell r="R101">
            <v>300</v>
          </cell>
          <cell r="S101" t="str">
            <v>KG</v>
          </cell>
          <cell r="T101">
            <v>121.41346153846152</v>
          </cell>
          <cell r="U101">
            <v>8.0419580419580434</v>
          </cell>
          <cell r="V101">
            <v>0</v>
          </cell>
          <cell r="W101" t="str">
            <v>KG</v>
          </cell>
          <cell r="X101">
            <v>0</v>
          </cell>
          <cell r="Y101">
            <v>0</v>
          </cell>
          <cell r="Z101">
            <v>121.41346153846152</v>
          </cell>
          <cell r="AA101" t="str">
            <v>KG</v>
          </cell>
          <cell r="AB101">
            <v>8.0419580419580434</v>
          </cell>
          <cell r="AC101">
            <v>121.41346153846152</v>
          </cell>
          <cell r="AD101">
            <v>8.0419580419580434</v>
          </cell>
          <cell r="AE101">
            <v>0.81</v>
          </cell>
          <cell r="AF101">
            <v>0</v>
          </cell>
          <cell r="AG101">
            <v>0</v>
          </cell>
          <cell r="AH101">
            <v>8.0419580419580434</v>
          </cell>
          <cell r="AI101">
            <v>0</v>
          </cell>
          <cell r="AJ101">
            <v>0</v>
          </cell>
          <cell r="AK101" t="str">
            <v>solv.Less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</row>
        <row r="102">
          <cell r="K102" t="str">
            <v>SO24-2465</v>
          </cell>
          <cell r="L102" t="str">
            <v xml:space="preserve">DIAMOND PREMIUM RICE BRAN OIL  RS 5/- </v>
          </cell>
          <cell r="M102" t="str">
            <v>C24-2477</v>
          </cell>
          <cell r="O102" t="str">
            <v>BAL</v>
          </cell>
          <cell r="P102">
            <v>2000</v>
          </cell>
          <cell r="Q102">
            <v>1</v>
          </cell>
          <cell r="R102">
            <v>2000</v>
          </cell>
          <cell r="S102" t="str">
            <v>KG</v>
          </cell>
          <cell r="T102">
            <v>467.59577278731831</v>
          </cell>
          <cell r="U102">
            <v>39.345010121361305</v>
          </cell>
          <cell r="V102">
            <v>0</v>
          </cell>
          <cell r="W102" t="str">
            <v>KG</v>
          </cell>
          <cell r="X102">
            <v>0</v>
          </cell>
          <cell r="Y102">
            <v>0</v>
          </cell>
          <cell r="Z102">
            <v>467.59577278731831</v>
          </cell>
          <cell r="AA102" t="str">
            <v>KG</v>
          </cell>
          <cell r="AB102">
            <v>39.345010121361305</v>
          </cell>
          <cell r="AC102">
            <v>467.59577278731831</v>
          </cell>
          <cell r="AD102">
            <v>39.345010121361305</v>
          </cell>
          <cell r="AE102">
            <v>0.68</v>
          </cell>
          <cell r="AF102">
            <v>0</v>
          </cell>
          <cell r="AG102">
            <v>0</v>
          </cell>
          <cell r="AH102">
            <v>39.345010121361305</v>
          </cell>
          <cell r="AI102">
            <v>0</v>
          </cell>
          <cell r="AJ102">
            <v>0</v>
          </cell>
          <cell r="AK102" t="str">
            <v>solv.Less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</row>
        <row r="103">
          <cell r="K103" t="str">
            <v>SO24-2466</v>
          </cell>
          <cell r="L103" t="str">
            <v xml:space="preserve">DIAMOND PREMIUM RICE BRAN OIL  RS 10/- </v>
          </cell>
          <cell r="M103" t="str">
            <v>C24-2478</v>
          </cell>
          <cell r="O103" t="str">
            <v>BAL</v>
          </cell>
          <cell r="P103">
            <v>2000</v>
          </cell>
          <cell r="Q103">
            <v>1</v>
          </cell>
          <cell r="R103">
            <v>2000</v>
          </cell>
          <cell r="S103" t="str">
            <v>KG</v>
          </cell>
          <cell r="T103">
            <v>467.59577278731831</v>
          </cell>
          <cell r="U103">
            <v>34.395952244460503</v>
          </cell>
          <cell r="V103">
            <v>0</v>
          </cell>
          <cell r="W103" t="str">
            <v>KG</v>
          </cell>
          <cell r="X103">
            <v>0</v>
          </cell>
          <cell r="Y103">
            <v>0</v>
          </cell>
          <cell r="Z103">
            <v>467.59577278731831</v>
          </cell>
          <cell r="AA103" t="str">
            <v>KG</v>
          </cell>
          <cell r="AB103">
            <v>34.395952244460503</v>
          </cell>
          <cell r="AC103">
            <v>467.59577278731831</v>
          </cell>
          <cell r="AD103">
            <v>34.395952244460503</v>
          </cell>
          <cell r="AE103">
            <v>0.78</v>
          </cell>
          <cell r="AF103">
            <v>0</v>
          </cell>
          <cell r="AG103">
            <v>0</v>
          </cell>
          <cell r="AH103">
            <v>34.395952244460503</v>
          </cell>
          <cell r="AI103">
            <v>0</v>
          </cell>
          <cell r="AJ103">
            <v>0</v>
          </cell>
          <cell r="AK103" t="str">
            <v>solv.Less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</row>
        <row r="104">
          <cell r="K104" t="str">
            <v>SO24-2218</v>
          </cell>
          <cell r="L104" t="str">
            <v>Square One Soya Stick Rs.5/-(Red)</v>
          </cell>
          <cell r="M104" t="str">
            <v>C24-2482</v>
          </cell>
          <cell r="O104" t="str">
            <v>BAL</v>
          </cell>
          <cell r="P104">
            <v>1000</v>
          </cell>
          <cell r="Q104">
            <v>1</v>
          </cell>
          <cell r="R104">
            <v>1000</v>
          </cell>
          <cell r="S104" t="str">
            <v>KG</v>
          </cell>
          <cell r="T104">
            <v>259.38735177865613</v>
          </cell>
          <cell r="U104">
            <v>19.99131805615847</v>
          </cell>
          <cell r="V104" t="e">
            <v>#N/A</v>
          </cell>
          <cell r="W104" t="str">
            <v>KG</v>
          </cell>
          <cell r="X104">
            <v>77</v>
          </cell>
          <cell r="Y104">
            <v>5.934489402697495</v>
          </cell>
          <cell r="Z104">
            <v>182.38735177865613</v>
          </cell>
          <cell r="AA104" t="str">
            <v>KG</v>
          </cell>
          <cell r="AB104">
            <v>14.056828653460975</v>
          </cell>
          <cell r="AC104">
            <v>232.38735177865613</v>
          </cell>
          <cell r="AD104">
            <v>17.910393200667141</v>
          </cell>
          <cell r="AE104" t="e">
            <v>#N/A</v>
          </cell>
          <cell r="AF104">
            <v>14.056828653460975</v>
          </cell>
          <cell r="AG104" t="e">
            <v>#N/A</v>
          </cell>
          <cell r="AH104" t="e">
            <v>#N/A</v>
          </cell>
          <cell r="AI104">
            <v>27</v>
          </cell>
          <cell r="AJ104">
            <v>50</v>
          </cell>
          <cell r="AK104" t="str">
            <v>Extrusion</v>
          </cell>
          <cell r="AL104">
            <v>667.59387351778651</v>
          </cell>
          <cell r="AM104">
            <v>70</v>
          </cell>
          <cell r="AN104">
            <v>0</v>
          </cell>
          <cell r="AO104">
            <v>70</v>
          </cell>
        </row>
        <row r="105">
          <cell r="K105" t="str">
            <v>SO24-2273</v>
          </cell>
          <cell r="L105" t="str">
            <v>Square One Masala Peanuts  Rs-5/-</v>
          </cell>
          <cell r="M105" t="str">
            <v>C24-2483</v>
          </cell>
          <cell r="O105" t="str">
            <v>BAL</v>
          </cell>
          <cell r="P105">
            <v>1000</v>
          </cell>
          <cell r="Q105">
            <v>1</v>
          </cell>
          <cell r="R105">
            <v>1000</v>
          </cell>
          <cell r="S105" t="str">
            <v>KG</v>
          </cell>
          <cell r="T105">
            <v>259.38735177865613</v>
          </cell>
          <cell r="U105">
            <v>19.99131805615847</v>
          </cell>
          <cell r="V105" t="e">
            <v>#N/A</v>
          </cell>
          <cell r="W105" t="str">
            <v>KG</v>
          </cell>
          <cell r="X105">
            <v>0</v>
          </cell>
          <cell r="Y105">
            <v>0</v>
          </cell>
          <cell r="Z105">
            <v>259.38735177865613</v>
          </cell>
          <cell r="AA105" t="str">
            <v>KG</v>
          </cell>
          <cell r="AB105">
            <v>19.99131805615847</v>
          </cell>
          <cell r="AC105">
            <v>259.38735177865613</v>
          </cell>
          <cell r="AD105">
            <v>19.99131805615847</v>
          </cell>
          <cell r="AE105" t="e">
            <v>#N/A</v>
          </cell>
          <cell r="AF105">
            <v>19.99131805615847</v>
          </cell>
          <cell r="AG105" t="e">
            <v>#N/A</v>
          </cell>
          <cell r="AH105" t="e">
            <v>#N/A</v>
          </cell>
          <cell r="AI105">
            <v>0</v>
          </cell>
          <cell r="AJ105">
            <v>0</v>
          </cell>
          <cell r="AK105" t="str">
            <v>Extrusion</v>
          </cell>
          <cell r="AL105">
            <v>667.59387351778651</v>
          </cell>
          <cell r="AM105">
            <v>0</v>
          </cell>
          <cell r="AN105">
            <v>0</v>
          </cell>
          <cell r="AO105">
            <v>0</v>
          </cell>
        </row>
        <row r="106">
          <cell r="K106" t="str">
            <v>SO24-2494</v>
          </cell>
          <cell r="L106" t="str">
            <v>BABA BRAND CHAKKI  FRESH ATTA 2KG PouchR1)</v>
          </cell>
          <cell r="M106" t="str">
            <v>C24-2490</v>
          </cell>
          <cell r="O106" t="str">
            <v>BAL</v>
          </cell>
          <cell r="P106">
            <v>1200</v>
          </cell>
          <cell r="Q106">
            <v>1</v>
          </cell>
          <cell r="R106">
            <v>1200</v>
          </cell>
          <cell r="S106" t="str">
            <v>KG</v>
          </cell>
          <cell r="T106">
            <v>271.09258123850395</v>
          </cell>
          <cell r="U106">
            <v>14.300394642533313</v>
          </cell>
          <cell r="V106">
            <v>0</v>
          </cell>
          <cell r="W106" t="str">
            <v>KG</v>
          </cell>
          <cell r="X106">
            <v>0</v>
          </cell>
          <cell r="Y106">
            <v>0</v>
          </cell>
          <cell r="Z106">
            <v>271.09258123850395</v>
          </cell>
          <cell r="AA106" t="str">
            <v>KG</v>
          </cell>
          <cell r="AB106">
            <v>14.300394642533313</v>
          </cell>
          <cell r="AC106">
            <v>271.09258123850395</v>
          </cell>
          <cell r="AD106">
            <v>14.300394642533313</v>
          </cell>
          <cell r="AE106">
            <v>1.05</v>
          </cell>
          <cell r="AF106">
            <v>0</v>
          </cell>
          <cell r="AG106">
            <v>0</v>
          </cell>
          <cell r="AH106">
            <v>14.300394642533313</v>
          </cell>
          <cell r="AI106">
            <v>0</v>
          </cell>
          <cell r="AJ106">
            <v>0</v>
          </cell>
          <cell r="AK106" t="str">
            <v>solv.Less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</row>
        <row r="107">
          <cell r="K107" t="str">
            <v>SO24-2495</v>
          </cell>
          <cell r="L107" t="str">
            <v>BABA BRAND CHAKKI FRESH ATTA 5KG Pouch(R1)</v>
          </cell>
          <cell r="M107" t="str">
            <v>C24-2491</v>
          </cell>
          <cell r="O107" t="str">
            <v>COMPLETED</v>
          </cell>
          <cell r="P107">
            <v>2500</v>
          </cell>
          <cell r="Q107">
            <v>1</v>
          </cell>
          <cell r="R107">
            <v>2500</v>
          </cell>
          <cell r="S107" t="str">
            <v>KG</v>
          </cell>
          <cell r="T107">
            <v>464.69418199900542</v>
          </cell>
          <cell r="U107">
            <v>38.391786351537135</v>
          </cell>
          <cell r="V107" t="e">
            <v>#N/A</v>
          </cell>
          <cell r="W107" t="str">
            <v>KG</v>
          </cell>
          <cell r="X107">
            <v>475</v>
          </cell>
          <cell r="Y107">
            <v>39.243225380039661</v>
          </cell>
          <cell r="Z107">
            <v>0</v>
          </cell>
          <cell r="AA107" t="str">
            <v>KG</v>
          </cell>
          <cell r="AB107">
            <v>0</v>
          </cell>
          <cell r="AC107">
            <v>-10.305818000994577</v>
          </cell>
          <cell r="AD107">
            <v>-0.85143902850252629</v>
          </cell>
          <cell r="AE107" t="e">
            <v>#N/A</v>
          </cell>
          <cell r="AF107">
            <v>0</v>
          </cell>
          <cell r="AG107" t="e">
            <v>#N/A</v>
          </cell>
          <cell r="AH107" t="e">
            <v>#N/A</v>
          </cell>
          <cell r="AI107">
            <v>475</v>
          </cell>
          <cell r="AJ107">
            <v>0</v>
          </cell>
          <cell r="AK107" t="str">
            <v>solv.Less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</row>
        <row r="108">
          <cell r="K108" t="str">
            <v>SO24-2496</v>
          </cell>
          <cell r="L108" t="str">
            <v>BABA BRAND CHAKKI FRESH ATTA 10KG  Pouch(R1)</v>
          </cell>
          <cell r="M108" t="str">
            <v>C24-2492</v>
          </cell>
          <cell r="O108" t="str">
            <v>BAL</v>
          </cell>
          <cell r="P108">
            <v>1000</v>
          </cell>
          <cell r="Q108">
            <v>1</v>
          </cell>
          <cell r="R108">
            <v>1000</v>
          </cell>
          <cell r="S108" t="str">
            <v>KG</v>
          </cell>
          <cell r="T108">
            <v>167.40572467060423</v>
          </cell>
          <cell r="U108">
            <v>11.539651524822792</v>
          </cell>
          <cell r="V108">
            <v>961.52460880954027</v>
          </cell>
          <cell r="W108" t="str">
            <v>KG</v>
          </cell>
          <cell r="X108">
            <v>169</v>
          </cell>
          <cell r="Y108">
            <v>11.649548493830567</v>
          </cell>
          <cell r="Z108">
            <v>0</v>
          </cell>
          <cell r="AA108" t="str">
            <v>KG</v>
          </cell>
          <cell r="AB108">
            <v>0</v>
          </cell>
          <cell r="AC108">
            <v>167.40572467060423</v>
          </cell>
          <cell r="AD108">
            <v>11.539651524822792</v>
          </cell>
          <cell r="AE108">
            <v>0.79500000000000004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169</v>
          </cell>
          <cell r="AK108" t="str">
            <v>solv.Less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K109" t="str">
            <v>SO24-2459</v>
          </cell>
          <cell r="L109" t="str">
            <v>Bikaji Teekha Toofan Rs.5/-</v>
          </cell>
          <cell r="M109" t="str">
            <v>C24-2493</v>
          </cell>
          <cell r="N109" t="str">
            <v>Transit-22 Nov</v>
          </cell>
          <cell r="O109" t="str">
            <v>BAL</v>
          </cell>
          <cell r="P109">
            <v>3000</v>
          </cell>
          <cell r="Q109">
            <v>1</v>
          </cell>
          <cell r="R109">
            <v>3000</v>
          </cell>
          <cell r="S109" t="str">
            <v>KG</v>
          </cell>
          <cell r="T109">
            <v>764.31575541895825</v>
          </cell>
          <cell r="U109">
            <v>45.29278550630864</v>
          </cell>
          <cell r="V109" t="e">
            <v>#N/A</v>
          </cell>
          <cell r="W109" t="str">
            <v>KG</v>
          </cell>
          <cell r="X109">
            <v>816</v>
          </cell>
          <cell r="Y109">
            <v>48.355555555555561</v>
          </cell>
          <cell r="Z109">
            <v>0</v>
          </cell>
          <cell r="AA109" t="str">
            <v>KG</v>
          </cell>
          <cell r="AB109">
            <v>0</v>
          </cell>
          <cell r="AC109">
            <v>-51.684244581041753</v>
          </cell>
          <cell r="AD109">
            <v>-3.062770049246919</v>
          </cell>
          <cell r="AE109" t="e">
            <v>#N/A</v>
          </cell>
          <cell r="AF109">
            <v>0</v>
          </cell>
          <cell r="AG109" t="e">
            <v>#N/A</v>
          </cell>
          <cell r="AH109" t="e">
            <v>#N/A</v>
          </cell>
          <cell r="AI109">
            <v>816</v>
          </cell>
          <cell r="AJ109">
            <v>0</v>
          </cell>
          <cell r="AK109" t="str">
            <v>Extrusion</v>
          </cell>
          <cell r="AL109">
            <v>2016.5706890973795</v>
          </cell>
          <cell r="AM109">
            <v>2095</v>
          </cell>
          <cell r="AN109">
            <v>0</v>
          </cell>
          <cell r="AO109">
            <v>2095</v>
          </cell>
        </row>
        <row r="110">
          <cell r="K110" t="str">
            <v>SO24-2499</v>
          </cell>
          <cell r="L110" t="str">
            <v>NON STOP- KISHLEY- CRUNCHY BITES  Rs 5/-25%EXTRA-[300X165]</v>
          </cell>
          <cell r="M110" t="str">
            <v>C24-2495</v>
          </cell>
          <cell r="O110" t="str">
            <v>BAL</v>
          </cell>
          <cell r="P110">
            <v>20000</v>
          </cell>
          <cell r="Q110">
            <v>1</v>
          </cell>
          <cell r="R110">
            <v>20000</v>
          </cell>
          <cell r="S110" t="str">
            <v>KG</v>
          </cell>
          <cell r="T110">
            <v>6002.8116213683215</v>
          </cell>
          <cell r="U110">
            <v>354.61891131994224</v>
          </cell>
          <cell r="V110">
            <v>9649.481278370853</v>
          </cell>
          <cell r="W110" t="str">
            <v>KG</v>
          </cell>
          <cell r="X110">
            <v>3005</v>
          </cell>
          <cell r="Y110">
            <v>177.52178407916114</v>
          </cell>
          <cell r="Z110">
            <v>2997.8116213683215</v>
          </cell>
          <cell r="AA110" t="str">
            <v>KG</v>
          </cell>
          <cell r="AB110">
            <v>177.09712724078111</v>
          </cell>
          <cell r="AC110">
            <v>2998.8116213683215</v>
          </cell>
          <cell r="AD110">
            <v>177.15620270969262</v>
          </cell>
          <cell r="AE110">
            <v>0.9</v>
          </cell>
          <cell r="AF110">
            <v>177.09712724078111</v>
          </cell>
          <cell r="AG110">
            <v>0</v>
          </cell>
          <cell r="AH110">
            <v>177.09712724078111</v>
          </cell>
          <cell r="AI110">
            <v>3004</v>
          </cell>
          <cell r="AJ110">
            <v>1</v>
          </cell>
          <cell r="AK110" t="str">
            <v>Extrusion</v>
          </cell>
          <cell r="AL110">
            <v>13713.636363636362</v>
          </cell>
          <cell r="AM110">
            <v>7069</v>
          </cell>
          <cell r="AN110">
            <v>0</v>
          </cell>
          <cell r="AO110">
            <v>7069</v>
          </cell>
        </row>
        <row r="111">
          <cell r="K111" t="str">
            <v>SO24-2500</v>
          </cell>
          <cell r="L111" t="str">
            <v>Non Stop Noodles 25% Extra Rs 5/- Flavoured (275x175) R1</v>
          </cell>
          <cell r="M111" t="str">
            <v>C24-2496</v>
          </cell>
          <cell r="N111" t="str">
            <v>Transit-22 Nov</v>
          </cell>
          <cell r="O111" t="str">
            <v>BAL</v>
          </cell>
          <cell r="P111">
            <v>25000</v>
          </cell>
          <cell r="Q111">
            <v>1</v>
          </cell>
          <cell r="R111">
            <v>25000</v>
          </cell>
          <cell r="S111" t="str">
            <v>KG</v>
          </cell>
          <cell r="T111">
            <v>7355.9508816120906</v>
          </cell>
          <cell r="U111">
            <v>367.33837111670869</v>
          </cell>
          <cell r="V111" t="e">
            <v>#N/A</v>
          </cell>
          <cell r="W111" t="str">
            <v>KG</v>
          </cell>
          <cell r="X111">
            <v>3384</v>
          </cell>
          <cell r="Y111">
            <v>168.98876404494385</v>
          </cell>
          <cell r="Z111">
            <v>3971.9508816120906</v>
          </cell>
          <cell r="AA111" t="str">
            <v>KG</v>
          </cell>
          <cell r="AB111">
            <v>198.34960707176484</v>
          </cell>
          <cell r="AC111">
            <v>3972.9508816120906</v>
          </cell>
          <cell r="AD111">
            <v>198.39954464979232</v>
          </cell>
          <cell r="AE111" t="e">
            <v>#N/A</v>
          </cell>
          <cell r="AF111">
            <v>198.34960707176484</v>
          </cell>
          <cell r="AG111" t="e">
            <v>#N/A</v>
          </cell>
          <cell r="AH111" t="e">
            <v>#N/A</v>
          </cell>
          <cell r="AI111">
            <v>3383</v>
          </cell>
          <cell r="AJ111">
            <v>1</v>
          </cell>
          <cell r="AK111" t="str">
            <v>Extrusion</v>
          </cell>
          <cell r="AL111">
            <v>17076.550692695215</v>
          </cell>
          <cell r="AM111">
            <v>9014</v>
          </cell>
          <cell r="AN111">
            <v>0</v>
          </cell>
          <cell r="AO111">
            <v>9014</v>
          </cell>
        </row>
        <row r="112">
          <cell r="K112" t="str">
            <v>SO24-2501</v>
          </cell>
          <cell r="L112" t="str">
            <v>NON STOP. ZING CREAM-AND-ONION  Rs5/-[C.G]</v>
          </cell>
          <cell r="M112" t="str">
            <v>C24-2497</v>
          </cell>
          <cell r="O112" t="str">
            <v>BAL</v>
          </cell>
          <cell r="P112">
            <v>25000</v>
          </cell>
          <cell r="Q112">
            <v>1</v>
          </cell>
          <cell r="R112">
            <v>25000</v>
          </cell>
          <cell r="S112" t="str">
            <v>KG</v>
          </cell>
          <cell r="T112">
            <v>7633.8400528750817</v>
          </cell>
          <cell r="U112">
            <v>372.30979578984989</v>
          </cell>
          <cell r="V112">
            <v>12268.989943977796</v>
          </cell>
          <cell r="W112" t="str">
            <v>KG</v>
          </cell>
          <cell r="X112">
            <v>3865</v>
          </cell>
          <cell r="Y112">
            <v>188.49980491611393</v>
          </cell>
          <cell r="Z112">
            <v>3768.8400528750817</v>
          </cell>
          <cell r="AA112" t="str">
            <v>KG</v>
          </cell>
          <cell r="AB112">
            <v>183.80999087373596</v>
          </cell>
          <cell r="AC112">
            <v>3906.8400528750817</v>
          </cell>
          <cell r="AD112">
            <v>190.54038494318584</v>
          </cell>
          <cell r="AE112">
            <v>1.1399999999999999</v>
          </cell>
          <cell r="AF112">
            <v>183.80999087373596</v>
          </cell>
          <cell r="AG112">
            <v>0</v>
          </cell>
          <cell r="AH112">
            <v>183.80999087373596</v>
          </cell>
          <cell r="AI112">
            <v>3727</v>
          </cell>
          <cell r="AJ112">
            <v>138</v>
          </cell>
          <cell r="AK112" t="str">
            <v>Extrusion</v>
          </cell>
          <cell r="AL112">
            <v>16660.855915399869</v>
          </cell>
          <cell r="AM112">
            <v>9903</v>
          </cell>
          <cell r="AN112">
            <v>0</v>
          </cell>
          <cell r="AO112">
            <v>9903</v>
          </cell>
        </row>
        <row r="113">
          <cell r="K113" t="str">
            <v>SO24-2502</v>
          </cell>
          <cell r="L113" t="str">
            <v>Non Stop Chana Jor Garam Rs 5/-(200x135)</v>
          </cell>
          <cell r="M113" t="str">
            <v>C24-2498</v>
          </cell>
          <cell r="O113" t="str">
            <v>BAL</v>
          </cell>
          <cell r="P113">
            <v>1000</v>
          </cell>
          <cell r="Q113">
            <v>1</v>
          </cell>
          <cell r="R113">
            <v>1000</v>
          </cell>
          <cell r="S113" t="str">
            <v>KG</v>
          </cell>
          <cell r="T113">
            <v>259.38735177865613</v>
          </cell>
          <cell r="U113">
            <v>16.870722066904463</v>
          </cell>
          <cell r="V113" t="e">
            <v>#N/A</v>
          </cell>
          <cell r="W113" t="str">
            <v>KG</v>
          </cell>
          <cell r="X113">
            <v>0</v>
          </cell>
          <cell r="Y113">
            <v>0</v>
          </cell>
          <cell r="Z113">
            <v>259.38735177865613</v>
          </cell>
          <cell r="AA113" t="str">
            <v>KG</v>
          </cell>
          <cell r="AB113">
            <v>16.870722066904463</v>
          </cell>
          <cell r="AC113">
            <v>259.38735177865613</v>
          </cell>
          <cell r="AD113">
            <v>16.870722066904463</v>
          </cell>
          <cell r="AE113" t="e">
            <v>#N/A</v>
          </cell>
          <cell r="AF113">
            <v>16.870722066904463</v>
          </cell>
          <cell r="AG113" t="e">
            <v>#N/A</v>
          </cell>
          <cell r="AH113" t="e">
            <v>#N/A</v>
          </cell>
          <cell r="AI113">
            <v>0</v>
          </cell>
          <cell r="AJ113">
            <v>0</v>
          </cell>
          <cell r="AK113" t="str">
            <v>Extrusion</v>
          </cell>
          <cell r="AL113">
            <v>667.59387351778651</v>
          </cell>
          <cell r="AM113">
            <v>0</v>
          </cell>
          <cell r="AN113">
            <v>0</v>
          </cell>
          <cell r="AO113">
            <v>0</v>
          </cell>
        </row>
        <row r="114">
          <cell r="K114" t="str">
            <v>SO24-2504</v>
          </cell>
          <cell r="L114" t="str">
            <v>Non Stop Hara Matar  RS.5/-(200x135)R1</v>
          </cell>
          <cell r="M114" t="str">
            <v>C24-2499</v>
          </cell>
          <cell r="O114" t="str">
            <v>BAL</v>
          </cell>
          <cell r="P114">
            <v>3500</v>
          </cell>
          <cell r="Q114">
            <v>1</v>
          </cell>
          <cell r="R114">
            <v>3500</v>
          </cell>
          <cell r="S114" t="str">
            <v>KG</v>
          </cell>
          <cell r="T114">
            <v>907.85573122529649</v>
          </cell>
          <cell r="U114">
            <v>59.047527234165628</v>
          </cell>
          <cell r="V114" t="e">
            <v>#N/A</v>
          </cell>
          <cell r="W114" t="str">
            <v>KG</v>
          </cell>
          <cell r="X114">
            <v>0</v>
          </cell>
          <cell r="Y114">
            <v>0</v>
          </cell>
          <cell r="Z114">
            <v>907.85573122529649</v>
          </cell>
          <cell r="AA114" t="str">
            <v>KG</v>
          </cell>
          <cell r="AB114">
            <v>59.047527234165628</v>
          </cell>
          <cell r="AC114">
            <v>907.85573122529649</v>
          </cell>
          <cell r="AD114">
            <v>59.047527234165628</v>
          </cell>
          <cell r="AE114" t="e">
            <v>#N/A</v>
          </cell>
          <cell r="AF114">
            <v>59.047527234165628</v>
          </cell>
          <cell r="AG114" t="e">
            <v>#N/A</v>
          </cell>
          <cell r="AH114" t="e">
            <v>#N/A</v>
          </cell>
          <cell r="AI114">
            <v>0</v>
          </cell>
          <cell r="AJ114">
            <v>0</v>
          </cell>
          <cell r="AK114" t="str">
            <v>Extrusion</v>
          </cell>
          <cell r="AL114">
            <v>2336.578557312253</v>
          </cell>
          <cell r="AM114">
            <v>0</v>
          </cell>
          <cell r="AN114">
            <v>0</v>
          </cell>
          <cell r="AO114">
            <v>0</v>
          </cell>
        </row>
        <row r="115">
          <cell r="K115" t="str">
            <v>SO24-2505</v>
          </cell>
          <cell r="L115" t="str">
            <v>Non Stop Moong Dal  Rs 5/-(200x135)R1</v>
          </cell>
          <cell r="M115" t="str">
            <v>C24-2500</v>
          </cell>
          <cell r="O115" t="str">
            <v>BAL</v>
          </cell>
          <cell r="P115">
            <v>2000</v>
          </cell>
          <cell r="Q115">
            <v>1</v>
          </cell>
          <cell r="R115">
            <v>2000</v>
          </cell>
          <cell r="S115" t="str">
            <v>KG</v>
          </cell>
          <cell r="T115">
            <v>518.77470355731225</v>
          </cell>
          <cell r="U115">
            <v>33.741444133808926</v>
          </cell>
          <cell r="V115" t="e">
            <v>#N/A</v>
          </cell>
          <cell r="W115" t="str">
            <v>KG</v>
          </cell>
          <cell r="X115">
            <v>530</v>
          </cell>
          <cell r="Y115">
            <v>34.471544715447159</v>
          </cell>
          <cell r="Z115">
            <v>0</v>
          </cell>
          <cell r="AA115" t="str">
            <v>KG</v>
          </cell>
          <cell r="AB115">
            <v>0</v>
          </cell>
          <cell r="AC115">
            <v>-11.22529644268775</v>
          </cell>
          <cell r="AD115">
            <v>-0.73010058163822766</v>
          </cell>
          <cell r="AE115" t="e">
            <v>#N/A</v>
          </cell>
          <cell r="AF115">
            <v>0</v>
          </cell>
          <cell r="AG115" t="e">
            <v>#N/A</v>
          </cell>
          <cell r="AH115" t="e">
            <v>#N/A</v>
          </cell>
          <cell r="AI115">
            <v>530</v>
          </cell>
          <cell r="AJ115">
            <v>0</v>
          </cell>
          <cell r="AK115" t="str">
            <v>Extrusion</v>
          </cell>
          <cell r="AL115">
            <v>1335.187747035573</v>
          </cell>
          <cell r="AM115">
            <v>1339</v>
          </cell>
          <cell r="AN115">
            <v>0</v>
          </cell>
          <cell r="AO115">
            <v>1339</v>
          </cell>
        </row>
        <row r="116">
          <cell r="K116" t="str">
            <v>SO24-2506</v>
          </cell>
          <cell r="L116" t="str">
            <v>Non Stop Paneer Bhujia Rs.5/- (200x135)R1</v>
          </cell>
          <cell r="M116" t="str">
            <v>C24-2501</v>
          </cell>
          <cell r="O116" t="str">
            <v>BAL</v>
          </cell>
          <cell r="P116">
            <v>3000</v>
          </cell>
          <cell r="Q116">
            <v>1</v>
          </cell>
          <cell r="R116">
            <v>3000</v>
          </cell>
          <cell r="S116" t="str">
            <v>KG</v>
          </cell>
          <cell r="T116">
            <v>778.16205533596838</v>
          </cell>
          <cell r="U116">
            <v>50.612166200713396</v>
          </cell>
          <cell r="V116" t="e">
            <v>#N/A</v>
          </cell>
          <cell r="W116" t="str">
            <v>KG</v>
          </cell>
          <cell r="X116">
            <v>0</v>
          </cell>
          <cell r="Y116">
            <v>0</v>
          </cell>
          <cell r="Z116">
            <v>778.16205533596838</v>
          </cell>
          <cell r="AA116" t="str">
            <v>KG</v>
          </cell>
          <cell r="AB116">
            <v>50.612166200713396</v>
          </cell>
          <cell r="AC116">
            <v>778.16205533596838</v>
          </cell>
          <cell r="AD116">
            <v>50.612166200713396</v>
          </cell>
          <cell r="AE116" t="e">
            <v>#N/A</v>
          </cell>
          <cell r="AF116">
            <v>50.612166200713396</v>
          </cell>
          <cell r="AG116" t="e">
            <v>#N/A</v>
          </cell>
          <cell r="AH116" t="e">
            <v>#N/A</v>
          </cell>
          <cell r="AI116">
            <v>0</v>
          </cell>
          <cell r="AJ116">
            <v>0</v>
          </cell>
          <cell r="AK116" t="str">
            <v>Extrusion</v>
          </cell>
          <cell r="AL116">
            <v>2002.78162055336</v>
          </cell>
          <cell r="AM116">
            <v>0</v>
          </cell>
          <cell r="AN116">
            <v>0</v>
          </cell>
          <cell r="AO116">
            <v>0</v>
          </cell>
        </row>
        <row r="117">
          <cell r="K117" t="str">
            <v>SO24-2507</v>
          </cell>
          <cell r="L117" t="str">
            <v>NON- STOP-JADU-PUFF Rs 5/-[8/8/10/19]2.2OD[CW-300MM]</v>
          </cell>
          <cell r="M117" t="str">
            <v>C24-2502</v>
          </cell>
          <cell r="O117" t="str">
            <v>BAL</v>
          </cell>
          <cell r="P117">
            <v>2000</v>
          </cell>
          <cell r="Q117">
            <v>1</v>
          </cell>
          <cell r="R117">
            <v>2000</v>
          </cell>
          <cell r="S117" t="str">
            <v>KG</v>
          </cell>
          <cell r="T117">
            <v>455.85552717986127</v>
          </cell>
          <cell r="U117">
            <v>41.413175305915175</v>
          </cell>
          <cell r="V117">
            <v>0</v>
          </cell>
          <cell r="W117" t="str">
            <v>KG</v>
          </cell>
          <cell r="X117">
            <v>0</v>
          </cell>
          <cell r="Y117">
            <v>0</v>
          </cell>
          <cell r="Z117">
            <v>455.85552717986127</v>
          </cell>
          <cell r="AA117" t="str">
            <v>KG</v>
          </cell>
          <cell r="AB117">
            <v>41.413175305915175</v>
          </cell>
          <cell r="AC117">
            <v>455.85552717986127</v>
          </cell>
          <cell r="AD117">
            <v>41.413175305915175</v>
          </cell>
          <cell r="AE117">
            <v>0.9</v>
          </cell>
          <cell r="AF117">
            <v>41.413175305915175</v>
          </cell>
          <cell r="AG117">
            <v>0</v>
          </cell>
          <cell r="AH117">
            <v>41.413175305915175</v>
          </cell>
          <cell r="AI117">
            <v>0</v>
          </cell>
          <cell r="AJ117">
            <v>0</v>
          </cell>
          <cell r="AK117" t="str">
            <v>Extrusion</v>
          </cell>
          <cell r="AL117">
            <v>1255.9394381612549</v>
          </cell>
          <cell r="AM117">
            <v>0</v>
          </cell>
          <cell r="AN117">
            <v>0</v>
          </cell>
          <cell r="AO117">
            <v>0</v>
          </cell>
        </row>
        <row r="118">
          <cell r="K118" t="str">
            <v>SO24-2508</v>
          </cell>
          <cell r="L118" t="str">
            <v xml:space="preserve">NON STOP. KRUNCH SPICY STIX Rs5/-[C.G]  CW 275MM </v>
          </cell>
          <cell r="M118" t="str">
            <v>C24-2503</v>
          </cell>
          <cell r="N118" t="str">
            <v>all AVL</v>
          </cell>
          <cell r="O118" t="str">
            <v>BAL</v>
          </cell>
          <cell r="P118">
            <v>1500</v>
          </cell>
          <cell r="Q118">
            <v>1</v>
          </cell>
          <cell r="R118">
            <v>1500</v>
          </cell>
          <cell r="S118" t="str">
            <v>KG</v>
          </cell>
          <cell r="T118">
            <v>389.08102766798419</v>
          </cell>
          <cell r="U118">
            <v>23.056653491436101</v>
          </cell>
          <cell r="V118">
            <v>1508.5376939203354</v>
          </cell>
          <cell r="W118" t="str">
            <v>KG</v>
          </cell>
          <cell r="X118">
            <v>404</v>
          </cell>
          <cell r="Y118">
            <v>23.94074074074074</v>
          </cell>
          <cell r="Z118">
            <v>0</v>
          </cell>
          <cell r="AA118" t="str">
            <v>KG</v>
          </cell>
          <cell r="AB118">
            <v>0</v>
          </cell>
          <cell r="AC118">
            <v>-14.918972332015812</v>
          </cell>
          <cell r="AD118">
            <v>-0.88408724930464067</v>
          </cell>
          <cell r="AE118">
            <v>1.1000000000000001</v>
          </cell>
          <cell r="AF118">
            <v>0</v>
          </cell>
          <cell r="AG118">
            <v>0</v>
          </cell>
          <cell r="AH118">
            <v>0</v>
          </cell>
          <cell r="AI118">
            <v>404</v>
          </cell>
          <cell r="AJ118">
            <v>0</v>
          </cell>
          <cell r="AK118" t="str">
            <v>Extrusion</v>
          </cell>
          <cell r="AL118">
            <v>1001.39081027668</v>
          </cell>
          <cell r="AM118">
            <v>1043</v>
          </cell>
          <cell r="AN118">
            <v>0</v>
          </cell>
          <cell r="AO118">
            <v>1043</v>
          </cell>
        </row>
        <row r="119">
          <cell r="K119" t="str">
            <v>SO24-2509</v>
          </cell>
          <cell r="L119" t="str">
            <v>Non Stop Crunchy Poochka Rs 5/- (320x200)</v>
          </cell>
          <cell r="M119" t="str">
            <v>C24-2504</v>
          </cell>
          <cell r="O119" t="str">
            <v>BAL</v>
          </cell>
          <cell r="P119">
            <v>3500</v>
          </cell>
          <cell r="Q119">
            <v>1</v>
          </cell>
          <cell r="R119">
            <v>3500</v>
          </cell>
          <cell r="S119" t="str">
            <v>KG</v>
          </cell>
          <cell r="T119">
            <v>1077.3221343873518</v>
          </cell>
          <cell r="U119">
            <v>61.445396360426166</v>
          </cell>
          <cell r="V119" t="e">
            <v>#N/A</v>
          </cell>
          <cell r="W119" t="str">
            <v>KG</v>
          </cell>
          <cell r="X119">
            <v>0</v>
          </cell>
          <cell r="Y119">
            <v>0</v>
          </cell>
          <cell r="Z119">
            <v>1077.3221343873518</v>
          </cell>
          <cell r="AA119" t="str">
            <v>KG</v>
          </cell>
          <cell r="AB119">
            <v>61.445396360426166</v>
          </cell>
          <cell r="AC119">
            <v>1077.3221343873518</v>
          </cell>
          <cell r="AD119">
            <v>61.445396360426166</v>
          </cell>
          <cell r="AE119" t="e">
            <v>#N/A</v>
          </cell>
          <cell r="AF119">
            <v>61.445396360426166</v>
          </cell>
          <cell r="AG119" t="e">
            <v>#N/A</v>
          </cell>
          <cell r="AH119" t="e">
            <v>#N/A</v>
          </cell>
          <cell r="AI119">
            <v>0</v>
          </cell>
          <cell r="AJ119">
            <v>0</v>
          </cell>
          <cell r="AK119" t="str">
            <v>Extrusion</v>
          </cell>
          <cell r="AL119">
            <v>2336.5785573122535</v>
          </cell>
          <cell r="AM119">
            <v>0</v>
          </cell>
          <cell r="AN119">
            <v>0</v>
          </cell>
          <cell r="AO119">
            <v>0</v>
          </cell>
        </row>
        <row r="120">
          <cell r="K120" t="str">
            <v>SO24-2497</v>
          </cell>
          <cell r="L120" t="str">
            <v>PICOLO CANDY-INNER LAMINATE[PM-FC-IL/002]</v>
          </cell>
          <cell r="M120" t="str">
            <v>C24-2507</v>
          </cell>
          <cell r="O120" t="str">
            <v>BAL</v>
          </cell>
          <cell r="P120">
            <v>1300</v>
          </cell>
          <cell r="Q120">
            <v>1</v>
          </cell>
          <cell r="R120">
            <v>1300</v>
          </cell>
          <cell r="S120" t="str">
            <v>KG</v>
          </cell>
          <cell r="T120">
            <v>601.47260273972597</v>
          </cell>
          <cell r="U120">
            <v>31.479175314791753</v>
          </cell>
          <cell r="V120">
            <v>1279.879398146091</v>
          </cell>
          <cell r="W120" t="str">
            <v>KG</v>
          </cell>
          <cell r="X120">
            <v>607</v>
          </cell>
          <cell r="Y120">
            <v>31.768461820275299</v>
          </cell>
          <cell r="Z120">
            <v>0</v>
          </cell>
          <cell r="AA120" t="str">
            <v>KG</v>
          </cell>
          <cell r="AB120">
            <v>0</v>
          </cell>
          <cell r="AC120">
            <v>601.47260273972597</v>
          </cell>
          <cell r="AD120">
            <v>31.479175314791753</v>
          </cell>
          <cell r="AE120">
            <v>0.97499999999999998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607</v>
          </cell>
          <cell r="AK120" t="str">
            <v>solv.Less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</row>
        <row r="121">
          <cell r="K121" t="str">
            <v>SO24-2498</v>
          </cell>
          <cell r="L121" t="str">
            <v>Fru Juicy Jelly  Inner  Strawberry [PM-FC-IL/005] R1</v>
          </cell>
          <cell r="M121" t="str">
            <v>C24-2508</v>
          </cell>
          <cell r="O121" t="str">
            <v>BAL</v>
          </cell>
          <cell r="P121">
            <v>1000</v>
          </cell>
          <cell r="Q121">
            <v>1</v>
          </cell>
          <cell r="R121">
            <v>1000</v>
          </cell>
          <cell r="S121" t="str">
            <v>KG</v>
          </cell>
          <cell r="T121">
            <v>512.72727272727263</v>
          </cell>
          <cell r="U121">
            <v>27.548209366391184</v>
          </cell>
          <cell r="V121" t="e">
            <v>#N/A</v>
          </cell>
          <cell r="W121" t="str">
            <v>KG</v>
          </cell>
          <cell r="X121">
            <v>523</v>
          </cell>
          <cell r="Y121">
            <v>28.100150440575977</v>
          </cell>
          <cell r="Z121">
            <v>0</v>
          </cell>
          <cell r="AA121" t="str">
            <v>KG</v>
          </cell>
          <cell r="AB121">
            <v>0</v>
          </cell>
          <cell r="AC121">
            <v>512.72727272727263</v>
          </cell>
          <cell r="AD121">
            <v>27.548209366391184</v>
          </cell>
          <cell r="AE121" t="e">
            <v>#N/A</v>
          </cell>
          <cell r="AF121">
            <v>0</v>
          </cell>
          <cell r="AG121" t="e">
            <v>#N/A</v>
          </cell>
          <cell r="AH121" t="e">
            <v>#N/A</v>
          </cell>
          <cell r="AI121">
            <v>0</v>
          </cell>
          <cell r="AJ121">
            <v>523</v>
          </cell>
          <cell r="AK121" t="str">
            <v>solv.Less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</row>
        <row r="122">
          <cell r="K122" t="str">
            <v>SO24-2472</v>
          </cell>
          <cell r="L122" t="str">
            <v>BR- TTA/TTP 100- TCPL(700mmX53mic)(20000000004821) R1</v>
          </cell>
          <cell r="M122" t="str">
            <v>C24-2510</v>
          </cell>
          <cell r="O122" t="str">
            <v>BAL</v>
          </cell>
          <cell r="P122">
            <v>2700</v>
          </cell>
          <cell r="Q122">
            <v>1</v>
          </cell>
          <cell r="R122">
            <v>2700</v>
          </cell>
          <cell r="S122" t="str">
            <v>KG</v>
          </cell>
          <cell r="T122">
            <v>2862</v>
          </cell>
          <cell r="U122">
            <v>82.164409202873173</v>
          </cell>
          <cell r="V122" t="e">
            <v>#N/A</v>
          </cell>
          <cell r="W122" t="str">
            <v>KG</v>
          </cell>
          <cell r="X122">
            <v>0</v>
          </cell>
          <cell r="Y122">
            <v>0</v>
          </cell>
          <cell r="Z122">
            <v>2862</v>
          </cell>
          <cell r="AA122" t="str">
            <v>KG</v>
          </cell>
          <cell r="AB122">
            <v>82.164409202873173</v>
          </cell>
          <cell r="AC122">
            <v>2862</v>
          </cell>
          <cell r="AD122">
            <v>82.164409202873173</v>
          </cell>
          <cell r="AE122" t="e">
            <v>#N/A</v>
          </cell>
          <cell r="AF122">
            <v>0</v>
          </cell>
          <cell r="AG122" t="e">
            <v>#N/A</v>
          </cell>
          <cell r="AH122" t="e">
            <v>#N/A</v>
          </cell>
          <cell r="AI122">
            <v>0</v>
          </cell>
          <cell r="AJ122">
            <v>0</v>
          </cell>
          <cell r="AK122" t="str">
            <v>Slitting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</row>
        <row r="123">
          <cell r="K123" t="str">
            <v>SO24-2477</v>
          </cell>
          <cell r="L123" t="str">
            <v>GRAB ON COMBO 4-BALLON,MAKE-UP-BOX,RING(10+10+10+25)</v>
          </cell>
          <cell r="M123" t="str">
            <v>C24-2515</v>
          </cell>
          <cell r="O123" t="str">
            <v>BAL</v>
          </cell>
          <cell r="P123">
            <v>1000</v>
          </cell>
          <cell r="Q123">
            <v>1</v>
          </cell>
          <cell r="R123">
            <v>1000</v>
          </cell>
          <cell r="S123" t="str">
            <v>KG</v>
          </cell>
          <cell r="T123">
            <v>244.56521739130432</v>
          </cell>
          <cell r="U123">
            <v>18.848957024377981</v>
          </cell>
          <cell r="V123" t="e">
            <v>#N/A</v>
          </cell>
          <cell r="W123" t="str">
            <v>KG</v>
          </cell>
          <cell r="X123">
            <v>0</v>
          </cell>
          <cell r="Y123">
            <v>0</v>
          </cell>
          <cell r="Z123">
            <v>244.56521739130432</v>
          </cell>
          <cell r="AA123" t="str">
            <v>KG</v>
          </cell>
          <cell r="AB123">
            <v>18.848957024377981</v>
          </cell>
          <cell r="AC123">
            <v>244.56521739130432</v>
          </cell>
          <cell r="AD123">
            <v>18.848957024377981</v>
          </cell>
          <cell r="AE123" t="e">
            <v>#N/A</v>
          </cell>
          <cell r="AF123">
            <v>18.848957024377981</v>
          </cell>
          <cell r="AG123" t="e">
            <v>#N/A</v>
          </cell>
          <cell r="AH123" t="e">
            <v>#N/A</v>
          </cell>
          <cell r="AI123">
            <v>0</v>
          </cell>
          <cell r="AJ123">
            <v>0</v>
          </cell>
          <cell r="AK123" t="str">
            <v>Extrusion</v>
          </cell>
          <cell r="AL123">
            <v>629.44565217391289</v>
          </cell>
          <cell r="AM123">
            <v>0</v>
          </cell>
          <cell r="AN123">
            <v>0</v>
          </cell>
          <cell r="AO123">
            <v>0</v>
          </cell>
        </row>
        <row r="124">
          <cell r="K124" t="str">
            <v>SO24-2513</v>
          </cell>
          <cell r="L124" t="str">
            <v>INDICA HAIR COLOR LEAFLET POUCH</v>
          </cell>
          <cell r="M124" t="str">
            <v>C24-2517</v>
          </cell>
          <cell r="O124" t="str">
            <v>BAL</v>
          </cell>
          <cell r="P124">
            <v>200</v>
          </cell>
          <cell r="Q124">
            <v>1</v>
          </cell>
          <cell r="R124">
            <v>200</v>
          </cell>
          <cell r="S124" t="str">
            <v>KG</v>
          </cell>
          <cell r="T124">
            <v>210</v>
          </cell>
          <cell r="U124">
            <v>15.750393759843993</v>
          </cell>
          <cell r="V124" t="e">
            <v>#N/A</v>
          </cell>
          <cell r="W124" t="str">
            <v>KG</v>
          </cell>
          <cell r="X124">
            <v>51</v>
          </cell>
          <cell r="Y124">
            <v>3.8250956273906844</v>
          </cell>
          <cell r="Z124">
            <v>159</v>
          </cell>
          <cell r="AA124" t="str">
            <v>KG</v>
          </cell>
          <cell r="AB124">
            <v>11.925298132453308</v>
          </cell>
          <cell r="AC124">
            <v>160</v>
          </cell>
          <cell r="AD124">
            <v>12.000300007500186</v>
          </cell>
          <cell r="AE124" t="e">
            <v>#N/A</v>
          </cell>
          <cell r="AF124">
            <v>0</v>
          </cell>
          <cell r="AG124" t="e">
            <v>#N/A</v>
          </cell>
          <cell r="AH124" t="e">
            <v>#N/A</v>
          </cell>
          <cell r="AI124">
            <v>50</v>
          </cell>
          <cell r="AJ124">
            <v>1</v>
          </cell>
          <cell r="AK124" t="str">
            <v>Slitting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</row>
        <row r="125">
          <cell r="K125" t="str">
            <v>SO24-2487</v>
          </cell>
          <cell r="L125" t="str">
            <v>Bajaj ADHO 2.4ml (1140mm/Printed) (4001854) R1</v>
          </cell>
          <cell r="M125" t="str">
            <v>C24-2518</v>
          </cell>
          <cell r="O125" t="str">
            <v>BAL</v>
          </cell>
          <cell r="P125">
            <v>5000</v>
          </cell>
          <cell r="Q125">
            <v>1</v>
          </cell>
          <cell r="R125">
            <v>5000</v>
          </cell>
          <cell r="S125" t="str">
            <v>KG</v>
          </cell>
          <cell r="T125">
            <v>1345.9688826025458</v>
          </cell>
          <cell r="U125">
            <v>63.679837371492255</v>
          </cell>
          <cell r="V125" t="e">
            <v>#N/A</v>
          </cell>
          <cell r="W125" t="str">
            <v>KG</v>
          </cell>
          <cell r="X125">
            <v>1366</v>
          </cell>
          <cell r="Y125">
            <v>64.627540037376107</v>
          </cell>
          <cell r="Z125">
            <v>0</v>
          </cell>
          <cell r="AA125" t="str">
            <v>KG</v>
          </cell>
          <cell r="AB125">
            <v>0</v>
          </cell>
          <cell r="AC125">
            <v>1345.9688826025458</v>
          </cell>
          <cell r="AD125">
            <v>63.679837371492255</v>
          </cell>
          <cell r="AE125" t="e">
            <v>#N/A</v>
          </cell>
          <cell r="AF125">
            <v>0</v>
          </cell>
          <cell r="AG125" t="e">
            <v>#N/A</v>
          </cell>
          <cell r="AH125" t="e">
            <v>#N/A</v>
          </cell>
          <cell r="AI125">
            <v>0</v>
          </cell>
          <cell r="AJ125">
            <v>1366</v>
          </cell>
          <cell r="AK125" t="str">
            <v>solv.Less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</row>
        <row r="126">
          <cell r="K126" t="str">
            <v>SO24-2488</v>
          </cell>
          <cell r="L126" t="str">
            <v>Bajaj ADHO 2.4ml (1140mm/Printed) (4001854) R1</v>
          </cell>
          <cell r="M126" t="str">
            <v>C24-2519</v>
          </cell>
          <cell r="O126" t="str">
            <v>BAL</v>
          </cell>
          <cell r="P126">
            <v>1160</v>
          </cell>
          <cell r="Q126">
            <v>1</v>
          </cell>
          <cell r="R126">
            <v>1160</v>
          </cell>
          <cell r="S126" t="str">
            <v>KG</v>
          </cell>
          <cell r="T126">
            <v>312.26478076379061</v>
          </cell>
          <cell r="U126">
            <v>14.773722270186203</v>
          </cell>
          <cell r="V126" t="e">
            <v>#N/A</v>
          </cell>
          <cell r="W126" t="str">
            <v>KG</v>
          </cell>
          <cell r="X126">
            <v>321</v>
          </cell>
          <cell r="Y126">
            <v>15.186998793556173</v>
          </cell>
          <cell r="Z126">
            <v>0</v>
          </cell>
          <cell r="AA126" t="str">
            <v>KG</v>
          </cell>
          <cell r="AB126">
            <v>0</v>
          </cell>
          <cell r="AC126">
            <v>312.26478076379061</v>
          </cell>
          <cell r="AD126">
            <v>14.773722270186203</v>
          </cell>
          <cell r="AE126" t="e">
            <v>#N/A</v>
          </cell>
          <cell r="AF126">
            <v>0</v>
          </cell>
          <cell r="AG126" t="e">
            <v>#N/A</v>
          </cell>
          <cell r="AH126" t="e">
            <v>#N/A</v>
          </cell>
          <cell r="AI126">
            <v>0</v>
          </cell>
          <cell r="AJ126">
            <v>321</v>
          </cell>
          <cell r="AK126" t="str">
            <v>solv.Less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</row>
        <row r="127">
          <cell r="K127" t="str">
            <v>SO24-2489</v>
          </cell>
          <cell r="L127" t="str">
            <v>Bajaj ADHO 2.4ml (760mm/Printed) (4001853) R1</v>
          </cell>
          <cell r="M127" t="str">
            <v>C24-2520</v>
          </cell>
          <cell r="O127" t="str">
            <v>BAL</v>
          </cell>
          <cell r="P127">
            <v>1550</v>
          </cell>
          <cell r="Q127">
            <v>1</v>
          </cell>
          <cell r="R127">
            <v>1550</v>
          </cell>
          <cell r="S127" t="str">
            <v>KG</v>
          </cell>
          <cell r="T127">
            <v>417.25035360678919</v>
          </cell>
          <cell r="U127">
            <v>29.420084865629423</v>
          </cell>
          <cell r="V127" t="e">
            <v>#N/A</v>
          </cell>
          <cell r="W127" t="str">
            <v>KG</v>
          </cell>
          <cell r="X127">
            <v>430</v>
          </cell>
          <cell r="Y127">
            <v>30.319055173629479</v>
          </cell>
          <cell r="Z127">
            <v>0</v>
          </cell>
          <cell r="AA127" t="str">
            <v>KG</v>
          </cell>
          <cell r="AB127">
            <v>0</v>
          </cell>
          <cell r="AC127">
            <v>417.25035360678919</v>
          </cell>
          <cell r="AD127">
            <v>29.420084865629423</v>
          </cell>
          <cell r="AE127" t="e">
            <v>#N/A</v>
          </cell>
          <cell r="AF127">
            <v>0</v>
          </cell>
          <cell r="AG127" t="e">
            <v>#N/A</v>
          </cell>
          <cell r="AH127" t="e">
            <v>#N/A</v>
          </cell>
          <cell r="AI127">
            <v>0</v>
          </cell>
          <cell r="AJ127">
            <v>430</v>
          </cell>
          <cell r="AK127" t="str">
            <v>solv.Less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K128" t="str">
            <v>SO24-2514</v>
          </cell>
          <cell r="L128" t="str">
            <v>Washmate Detergent-1kg (R1)</v>
          </cell>
          <cell r="M128" t="str">
            <v>C24-2521</v>
          </cell>
          <cell r="O128" t="str">
            <v>BAL</v>
          </cell>
          <cell r="P128">
            <v>1500</v>
          </cell>
          <cell r="Q128">
            <v>1</v>
          </cell>
          <cell r="R128">
            <v>1500</v>
          </cell>
          <cell r="S128" t="str">
            <v>KG</v>
          </cell>
          <cell r="T128">
            <v>285.5763239875389</v>
          </cell>
          <cell r="U128">
            <v>19.685415591613634</v>
          </cell>
          <cell r="V128">
            <v>1457.8934567697313</v>
          </cell>
          <cell r="W128" t="str">
            <v>KG</v>
          </cell>
          <cell r="X128">
            <v>291</v>
          </cell>
          <cell r="Y128">
            <v>20.059281726063283</v>
          </cell>
          <cell r="Z128">
            <v>0</v>
          </cell>
          <cell r="AA128" t="str">
            <v>KG</v>
          </cell>
          <cell r="AB128">
            <v>0</v>
          </cell>
          <cell r="AC128">
            <v>285.5763239875389</v>
          </cell>
          <cell r="AD128">
            <v>19.685415591613634</v>
          </cell>
          <cell r="AE128">
            <v>0.8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291</v>
          </cell>
          <cell r="AK128" t="str">
            <v>solv.base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</row>
        <row r="129">
          <cell r="K129" t="str">
            <v>SO24-2530</v>
          </cell>
          <cell r="L129" t="str">
            <v>Durga Polar Green Matar Rs 5/-</v>
          </cell>
          <cell r="M129" t="str">
            <v>C24-2522</v>
          </cell>
          <cell r="N129" t="str">
            <v>Transit-ESTER 27 NOV</v>
          </cell>
          <cell r="O129" t="str">
            <v>BAL</v>
          </cell>
          <cell r="P129">
            <v>3000</v>
          </cell>
          <cell r="Q129">
            <v>1</v>
          </cell>
          <cell r="R129">
            <v>3000</v>
          </cell>
          <cell r="S129" t="str">
            <v>KG</v>
          </cell>
          <cell r="T129">
            <v>778.16205533596838</v>
          </cell>
          <cell r="U129">
            <v>46.113306982872203</v>
          </cell>
          <cell r="V129" t="e">
            <v>#N/A</v>
          </cell>
          <cell r="W129" t="str">
            <v>KG</v>
          </cell>
          <cell r="X129">
            <v>0</v>
          </cell>
          <cell r="Y129">
            <v>0</v>
          </cell>
          <cell r="Z129">
            <v>778.16205533596838</v>
          </cell>
          <cell r="AA129" t="str">
            <v>KG</v>
          </cell>
          <cell r="AB129">
            <v>46.113306982872203</v>
          </cell>
          <cell r="AC129">
            <v>778.16205533596838</v>
          </cell>
          <cell r="AD129">
            <v>46.113306982872203</v>
          </cell>
          <cell r="AE129" t="e">
            <v>#N/A</v>
          </cell>
          <cell r="AF129">
            <v>46.113306982872203</v>
          </cell>
          <cell r="AG129" t="e">
            <v>#N/A</v>
          </cell>
          <cell r="AH129" t="e">
            <v>#N/A</v>
          </cell>
          <cell r="AI129">
            <v>0</v>
          </cell>
          <cell r="AJ129">
            <v>0</v>
          </cell>
          <cell r="AK129" t="str">
            <v>Extrusion</v>
          </cell>
          <cell r="AL129">
            <v>2002.78162055336</v>
          </cell>
          <cell r="AM129">
            <v>0</v>
          </cell>
          <cell r="AN129">
            <v>0</v>
          </cell>
          <cell r="AO129">
            <v>0</v>
          </cell>
        </row>
        <row r="130">
          <cell r="K130" t="str">
            <v>SO24-2540</v>
          </cell>
          <cell r="L130" t="str">
            <v>Navajal BOPP Label 500ml</v>
          </cell>
          <cell r="M130" t="str">
            <v>C24-2523</v>
          </cell>
          <cell r="O130" t="str">
            <v>BAL</v>
          </cell>
          <cell r="P130">
            <v>200</v>
          </cell>
          <cell r="Q130">
            <v>1</v>
          </cell>
          <cell r="R130">
            <v>200</v>
          </cell>
          <cell r="S130" t="str">
            <v>KG</v>
          </cell>
          <cell r="T130">
            <v>206</v>
          </cell>
          <cell r="U130">
            <v>11.779169168310604</v>
          </cell>
          <cell r="V130" t="e">
            <v>#N/A</v>
          </cell>
          <cell r="W130" t="str">
            <v>KG</v>
          </cell>
          <cell r="X130">
            <v>214</v>
          </cell>
          <cell r="Y130">
            <v>12.236612631157618</v>
          </cell>
          <cell r="Z130">
            <v>0</v>
          </cell>
          <cell r="AA130" t="str">
            <v>KG</v>
          </cell>
          <cell r="AB130">
            <v>0</v>
          </cell>
          <cell r="AC130">
            <v>206</v>
          </cell>
          <cell r="AD130">
            <v>11.779169168310604</v>
          </cell>
          <cell r="AE130" t="e">
            <v>#N/A</v>
          </cell>
          <cell r="AF130">
            <v>0</v>
          </cell>
          <cell r="AG130" t="e">
            <v>#N/A</v>
          </cell>
          <cell r="AH130" t="e">
            <v>#N/A</v>
          </cell>
          <cell r="AI130">
            <v>0</v>
          </cell>
          <cell r="AJ130">
            <v>214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</row>
        <row r="131">
          <cell r="K131" t="str">
            <v>SO24-2503</v>
          </cell>
          <cell r="L131" t="str">
            <v>Non Stop Cocktail Peanut Rs 5/- (200*135) R1</v>
          </cell>
          <cell r="M131" t="str">
            <v>C24-2524</v>
          </cell>
          <cell r="O131" t="str">
            <v>BAL</v>
          </cell>
          <cell r="P131">
            <v>1200</v>
          </cell>
          <cell r="Q131">
            <v>1</v>
          </cell>
          <cell r="R131">
            <v>1200</v>
          </cell>
          <cell r="S131" t="str">
            <v>KG</v>
          </cell>
          <cell r="T131">
            <v>310.75304176257811</v>
          </cell>
          <cell r="U131">
            <v>20.211579952037603</v>
          </cell>
          <cell r="V131" t="e">
            <v>#N/A</v>
          </cell>
          <cell r="W131" t="str">
            <v>KG</v>
          </cell>
          <cell r="X131">
            <v>0</v>
          </cell>
          <cell r="Y131">
            <v>0</v>
          </cell>
          <cell r="Z131">
            <v>310.75304176257811</v>
          </cell>
          <cell r="AA131" t="str">
            <v>KG</v>
          </cell>
          <cell r="AB131">
            <v>20.211579952037603</v>
          </cell>
          <cell r="AC131">
            <v>310.75304176257811</v>
          </cell>
          <cell r="AD131">
            <v>20.211579952037603</v>
          </cell>
          <cell r="AE131" t="e">
            <v>#N/A</v>
          </cell>
          <cell r="AF131">
            <v>20.211579952037603</v>
          </cell>
          <cell r="AG131" t="e">
            <v>#N/A</v>
          </cell>
          <cell r="AH131" t="e">
            <v>#N/A</v>
          </cell>
          <cell r="AI131">
            <v>0</v>
          </cell>
          <cell r="AJ131">
            <v>0</v>
          </cell>
          <cell r="AK131" t="str">
            <v>Extrusion</v>
          </cell>
          <cell r="AL131">
            <v>799.79546201907272</v>
          </cell>
          <cell r="AM131">
            <v>0</v>
          </cell>
          <cell r="AN131">
            <v>0</v>
          </cell>
          <cell r="AO131">
            <v>0</v>
          </cell>
        </row>
        <row r="132">
          <cell r="K132" t="str">
            <v>SO24-2547</v>
          </cell>
          <cell r="L132" t="str">
            <v>BR- TTP R 10- TCPL(460mmX53mic)(0186) R1</v>
          </cell>
          <cell r="M132" t="str">
            <v>C24-2525</v>
          </cell>
          <cell r="O132" t="str">
            <v>COMPLETED</v>
          </cell>
          <cell r="P132">
            <v>2000</v>
          </cell>
          <cell r="Q132">
            <v>1</v>
          </cell>
          <cell r="R132">
            <v>2000</v>
          </cell>
          <cell r="S132" t="str">
            <v>KG</v>
          </cell>
          <cell r="T132">
            <v>2120.0000000000005</v>
          </cell>
          <cell r="U132">
            <v>46.276286895516009</v>
          </cell>
          <cell r="V132" t="e">
            <v>#N/A</v>
          </cell>
          <cell r="W132" t="str">
            <v>KG</v>
          </cell>
          <cell r="X132">
            <v>2003</v>
          </cell>
          <cell r="Y132">
            <v>43.722359741376664</v>
          </cell>
          <cell r="Z132">
            <v>117.00000000000045</v>
          </cell>
          <cell r="AA132" t="str">
            <v>KG</v>
          </cell>
          <cell r="AB132">
            <v>2.5539271541393447</v>
          </cell>
          <cell r="AC132">
            <v>117.00000000000045</v>
          </cell>
          <cell r="AD132">
            <v>2.5539271541393362</v>
          </cell>
          <cell r="AE132" t="e">
            <v>#N/A</v>
          </cell>
          <cell r="AF132">
            <v>0</v>
          </cell>
          <cell r="AG132" t="e">
            <v>#N/A</v>
          </cell>
          <cell r="AH132" t="e">
            <v>#N/A</v>
          </cell>
          <cell r="AI132">
            <v>2003</v>
          </cell>
          <cell r="AJ132">
            <v>0</v>
          </cell>
          <cell r="AK132" t="str">
            <v>Slitting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</row>
        <row r="133">
          <cell r="K133" t="str">
            <v>SO24-2478</v>
          </cell>
          <cell r="L133" t="str">
            <v>No Control - Pop IT Rs 5/-(Red)</v>
          </cell>
          <cell r="M133" t="str">
            <v>C24-2527</v>
          </cell>
          <cell r="O133" t="str">
            <v>BAL</v>
          </cell>
          <cell r="P133">
            <v>750</v>
          </cell>
          <cell r="Q133">
            <v>1</v>
          </cell>
          <cell r="R133">
            <v>750</v>
          </cell>
          <cell r="S133" t="str">
            <v>KG</v>
          </cell>
          <cell r="T133">
            <v>196.07037158829331</v>
          </cell>
          <cell r="U133">
            <v>15.111396654203723</v>
          </cell>
          <cell r="V133" t="e">
            <v>#N/A</v>
          </cell>
          <cell r="W133" t="str">
            <v>KG</v>
          </cell>
          <cell r="X133">
            <v>0</v>
          </cell>
          <cell r="Y133">
            <v>0</v>
          </cell>
          <cell r="Z133">
            <v>196.07037158829331</v>
          </cell>
          <cell r="AA133" t="str">
            <v>KG</v>
          </cell>
          <cell r="AB133">
            <v>15.111396654203723</v>
          </cell>
          <cell r="AC133">
            <v>196.07037158829331</v>
          </cell>
          <cell r="AD133">
            <v>15.111396654203723</v>
          </cell>
          <cell r="AE133" t="e">
            <v>#N/A</v>
          </cell>
          <cell r="AF133">
            <v>15.111396654203723</v>
          </cell>
          <cell r="AG133" t="e">
            <v>#N/A</v>
          </cell>
          <cell r="AH133" t="e">
            <v>#N/A</v>
          </cell>
          <cell r="AI133">
            <v>0</v>
          </cell>
          <cell r="AJ133">
            <v>0</v>
          </cell>
          <cell r="AK133" t="str">
            <v>Extrusion</v>
          </cell>
          <cell r="AL133">
            <v>504.63285103584343</v>
          </cell>
          <cell r="AM133">
            <v>0</v>
          </cell>
          <cell r="AN133">
            <v>0</v>
          </cell>
          <cell r="AO133">
            <v>0</v>
          </cell>
        </row>
        <row r="134">
          <cell r="K134" t="str">
            <v>SO24-2479</v>
          </cell>
          <cell r="L134" t="str">
            <v>No Control - Pop IT Rs 5/-(Blue)</v>
          </cell>
          <cell r="M134" t="str">
            <v>C24-2528</v>
          </cell>
          <cell r="O134" t="str">
            <v>BAL</v>
          </cell>
          <cell r="P134">
            <v>750</v>
          </cell>
          <cell r="Q134">
            <v>1</v>
          </cell>
          <cell r="R134">
            <v>750</v>
          </cell>
          <cell r="S134" t="str">
            <v>KG</v>
          </cell>
          <cell r="T134">
            <v>196.07037158829331</v>
          </cell>
          <cell r="U134">
            <v>15.111396654203723</v>
          </cell>
          <cell r="V134" t="e">
            <v>#N/A</v>
          </cell>
          <cell r="W134" t="str">
            <v>KG</v>
          </cell>
          <cell r="X134">
            <v>0</v>
          </cell>
          <cell r="Y134">
            <v>0</v>
          </cell>
          <cell r="Z134">
            <v>196.07037158829331</v>
          </cell>
          <cell r="AA134" t="str">
            <v>KG</v>
          </cell>
          <cell r="AB134">
            <v>15.111396654203723</v>
          </cell>
          <cell r="AC134">
            <v>196.07037158829331</v>
          </cell>
          <cell r="AD134">
            <v>15.111396654203723</v>
          </cell>
          <cell r="AE134" t="e">
            <v>#N/A</v>
          </cell>
          <cell r="AF134">
            <v>15.111396654203723</v>
          </cell>
          <cell r="AG134" t="e">
            <v>#N/A</v>
          </cell>
          <cell r="AH134" t="e">
            <v>#N/A</v>
          </cell>
          <cell r="AI134">
            <v>0</v>
          </cell>
          <cell r="AJ134">
            <v>0</v>
          </cell>
          <cell r="AK134" t="str">
            <v>Extrusion</v>
          </cell>
          <cell r="AL134">
            <v>504.63285103584343</v>
          </cell>
          <cell r="AM134">
            <v>0</v>
          </cell>
          <cell r="AN134">
            <v>0</v>
          </cell>
          <cell r="AO134">
            <v>0</v>
          </cell>
        </row>
        <row r="135">
          <cell r="K135" t="str">
            <v>SO24-2515</v>
          </cell>
          <cell r="L135" t="str">
            <v>TATA SALT 1KG RECYC B.NO-CU LAM MRP 30 RL-212 (14642)</v>
          </cell>
          <cell r="M135" t="str">
            <v>C24-2529</v>
          </cell>
          <cell r="O135" t="str">
            <v>BAL</v>
          </cell>
          <cell r="P135">
            <v>5825</v>
          </cell>
          <cell r="Q135">
            <v>1</v>
          </cell>
          <cell r="R135">
            <v>5825</v>
          </cell>
          <cell r="S135" t="str">
            <v>KG</v>
          </cell>
          <cell r="T135">
            <v>2723.2459392317983</v>
          </cell>
          <cell r="U135">
            <v>162.74702320156567</v>
          </cell>
          <cell r="V135" t="e">
            <v>#N/A</v>
          </cell>
          <cell r="W135" t="str">
            <v>KG</v>
          </cell>
          <cell r="X135">
            <v>2759</v>
          </cell>
          <cell r="Y135">
            <v>164.88376262475347</v>
          </cell>
          <cell r="Z135">
            <v>0</v>
          </cell>
          <cell r="AA135" t="str">
            <v>KG</v>
          </cell>
          <cell r="AB135">
            <v>0</v>
          </cell>
          <cell r="AC135">
            <v>-35.754060768201725</v>
          </cell>
          <cell r="AD135">
            <v>-2.1367394231878158</v>
          </cell>
          <cell r="AE135" t="e">
            <v>#N/A</v>
          </cell>
          <cell r="AF135">
            <v>0</v>
          </cell>
          <cell r="AG135" t="e">
            <v>#N/A</v>
          </cell>
          <cell r="AH135" t="e">
            <v>#N/A</v>
          </cell>
          <cell r="AI135">
            <v>2759</v>
          </cell>
          <cell r="AJ135">
            <v>0</v>
          </cell>
          <cell r="AK135" t="str">
            <v>solv.Less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K136" t="str">
            <v>SO24-2516</v>
          </cell>
          <cell r="L136" t="str">
            <v>TATA SALT 1KG RECYC B.NO-DR LAM MRP 30 RL-212 (14642)</v>
          </cell>
          <cell r="M136" t="str">
            <v>C24-2530</v>
          </cell>
          <cell r="O136" t="str">
            <v>BAL</v>
          </cell>
          <cell r="P136">
            <v>3542</v>
          </cell>
          <cell r="Q136">
            <v>1</v>
          </cell>
          <cell r="R136">
            <v>3542</v>
          </cell>
          <cell r="S136" t="str">
            <v>KG</v>
          </cell>
          <cell r="T136">
            <v>1655.9205350659279</v>
          </cell>
          <cell r="U136">
            <v>98.961365867801817</v>
          </cell>
          <cell r="V136" t="e">
            <v>#N/A</v>
          </cell>
          <cell r="W136" t="str">
            <v>KG</v>
          </cell>
          <cell r="X136">
            <v>1728</v>
          </cell>
          <cell r="Y136">
            <v>103.26898942210003</v>
          </cell>
          <cell r="Z136">
            <v>0</v>
          </cell>
          <cell r="AA136" t="str">
            <v>KG</v>
          </cell>
          <cell r="AB136">
            <v>0</v>
          </cell>
          <cell r="AC136">
            <v>1655.9205350659279</v>
          </cell>
          <cell r="AD136">
            <v>98.961365867801817</v>
          </cell>
          <cell r="AE136" t="e">
            <v>#N/A</v>
          </cell>
          <cell r="AF136">
            <v>0</v>
          </cell>
          <cell r="AG136" t="e">
            <v>#N/A</v>
          </cell>
          <cell r="AH136" t="e">
            <v>#N/A</v>
          </cell>
          <cell r="AI136">
            <v>0</v>
          </cell>
          <cell r="AJ136">
            <v>1728</v>
          </cell>
          <cell r="AK136" t="str">
            <v>solv.Less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K137" t="str">
            <v>SO24-2517</v>
          </cell>
          <cell r="L137" t="str">
            <v>TATA SALT 500GM Recyclable  B.NO-DR(PE/PE LAM-7806)(DOW)</v>
          </cell>
          <cell r="M137" t="str">
            <v>C24-2531</v>
          </cell>
          <cell r="O137" t="str">
            <v>BAL</v>
          </cell>
          <cell r="P137">
            <v>2009</v>
          </cell>
          <cell r="Q137">
            <v>1</v>
          </cell>
          <cell r="R137">
            <v>2009</v>
          </cell>
          <cell r="S137" t="str">
            <v>KG</v>
          </cell>
          <cell r="T137">
            <v>939.22765526466651</v>
          </cell>
          <cell r="U137">
            <v>45.468647079609731</v>
          </cell>
          <cell r="V137" t="e">
            <v>#N/A</v>
          </cell>
          <cell r="W137" t="str">
            <v>KG</v>
          </cell>
          <cell r="X137">
            <v>998</v>
          </cell>
          <cell r="Y137">
            <v>48.313856104102314</v>
          </cell>
          <cell r="Z137">
            <v>0</v>
          </cell>
          <cell r="AA137" t="str">
            <v>KG</v>
          </cell>
          <cell r="AB137">
            <v>0</v>
          </cell>
          <cell r="AC137">
            <v>939.22765526466651</v>
          </cell>
          <cell r="AD137">
            <v>45.468647079609731</v>
          </cell>
          <cell r="AE137" t="e">
            <v>#N/A</v>
          </cell>
          <cell r="AF137">
            <v>0</v>
          </cell>
          <cell r="AG137" t="e">
            <v>#N/A</v>
          </cell>
          <cell r="AH137" t="e">
            <v>#N/A</v>
          </cell>
          <cell r="AI137">
            <v>0</v>
          </cell>
          <cell r="AJ137">
            <v>998</v>
          </cell>
          <cell r="AK137" t="str">
            <v>solv.Less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</row>
        <row r="138">
          <cell r="K138" t="str">
            <v>SO24-2528</v>
          </cell>
          <cell r="L138" t="str">
            <v>HOMA  ATTA SHAKTI BREAD WNW(R1)</v>
          </cell>
          <cell r="M138" t="str">
            <v>C24-2532</v>
          </cell>
          <cell r="O138" t="str">
            <v>BAL</v>
          </cell>
          <cell r="P138">
            <v>500</v>
          </cell>
          <cell r="Q138">
            <v>1</v>
          </cell>
          <cell r="R138">
            <v>500</v>
          </cell>
          <cell r="S138" t="str">
            <v>KG</v>
          </cell>
          <cell r="T138">
            <v>216.06936416184968</v>
          </cell>
          <cell r="U138">
            <v>13.48747591522158</v>
          </cell>
          <cell r="V138" t="e">
            <v>#N/A</v>
          </cell>
          <cell r="W138" t="str">
            <v>KG</v>
          </cell>
          <cell r="X138">
            <v>0</v>
          </cell>
          <cell r="Y138">
            <v>0</v>
          </cell>
          <cell r="Z138">
            <v>216.06936416184968</v>
          </cell>
          <cell r="AA138" t="str">
            <v>KG</v>
          </cell>
          <cell r="AB138">
            <v>13.48747591522158</v>
          </cell>
          <cell r="AC138">
            <v>216.06936416184968</v>
          </cell>
          <cell r="AD138">
            <v>13.48747591522158</v>
          </cell>
          <cell r="AE138" t="e">
            <v>#N/A</v>
          </cell>
          <cell r="AF138">
            <v>0</v>
          </cell>
          <cell r="AG138" t="e">
            <v>#N/A</v>
          </cell>
          <cell r="AH138" t="e">
            <v>#N/A</v>
          </cell>
          <cell r="AI138">
            <v>0</v>
          </cell>
          <cell r="AJ138">
            <v>0</v>
          </cell>
          <cell r="AK138" t="str">
            <v>solv.Less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</row>
        <row r="139">
          <cell r="K139" t="str">
            <v>SO24-2529</v>
          </cell>
          <cell r="L139" t="str">
            <v>Homa Cream Bread Chocolate</v>
          </cell>
          <cell r="M139" t="str">
            <v>C24-2533</v>
          </cell>
          <cell r="O139" t="str">
            <v>BAL</v>
          </cell>
          <cell r="P139">
            <v>1000</v>
          </cell>
          <cell r="Q139">
            <v>1</v>
          </cell>
          <cell r="R139">
            <v>1000</v>
          </cell>
          <cell r="S139" t="str">
            <v>KG</v>
          </cell>
          <cell r="T139">
            <v>499.07216494845346</v>
          </cell>
          <cell r="U139">
            <v>37.654456386634493</v>
          </cell>
          <cell r="V139" t="e">
            <v>#N/A</v>
          </cell>
          <cell r="W139" t="str">
            <v>KG</v>
          </cell>
          <cell r="X139">
            <v>0</v>
          </cell>
          <cell r="Y139">
            <v>0</v>
          </cell>
          <cell r="Z139">
            <v>499.07216494845346</v>
          </cell>
          <cell r="AA139" t="str">
            <v>KG</v>
          </cell>
          <cell r="AB139">
            <v>37.654456386634493</v>
          </cell>
          <cell r="AC139">
            <v>499.07216494845346</v>
          </cell>
          <cell r="AD139">
            <v>37.654456386634493</v>
          </cell>
          <cell r="AE139" t="e">
            <v>#N/A</v>
          </cell>
          <cell r="AF139">
            <v>0</v>
          </cell>
          <cell r="AG139" t="e">
            <v>#N/A</v>
          </cell>
          <cell r="AH139" t="e">
            <v>#N/A</v>
          </cell>
          <cell r="AI139">
            <v>0</v>
          </cell>
          <cell r="AJ139">
            <v>0</v>
          </cell>
          <cell r="AK139" t="str">
            <v>solv.Less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</row>
        <row r="140">
          <cell r="K140" t="str">
            <v>SO24-2461</v>
          </cell>
          <cell r="L140" t="str">
            <v>EVERGREEN SPICE HALDI 100GM</v>
          </cell>
          <cell r="M140" t="str">
            <v>C24-2534</v>
          </cell>
          <cell r="O140" t="str">
            <v>BAL</v>
          </cell>
          <cell r="P140">
            <v>300</v>
          </cell>
          <cell r="Q140">
            <v>1</v>
          </cell>
          <cell r="R140">
            <v>300</v>
          </cell>
          <cell r="S140" t="str">
            <v>KG</v>
          </cell>
          <cell r="T140">
            <v>77.484808454425348</v>
          </cell>
          <cell r="U140">
            <v>5.9302623951037328</v>
          </cell>
          <cell r="V140">
            <v>0</v>
          </cell>
          <cell r="W140" t="str">
            <v>KG</v>
          </cell>
          <cell r="X140">
            <v>0</v>
          </cell>
          <cell r="Y140">
            <v>0</v>
          </cell>
          <cell r="Z140">
            <v>77.484808454425348</v>
          </cell>
          <cell r="AA140" t="str">
            <v>KG</v>
          </cell>
          <cell r="AB140">
            <v>5.9302623951037328</v>
          </cell>
          <cell r="AC140">
            <v>77.484808454425348</v>
          </cell>
          <cell r="AD140">
            <v>5.9302623951037328</v>
          </cell>
          <cell r="AE140">
            <v>0</v>
          </cell>
          <cell r="AF140">
            <v>0</v>
          </cell>
          <cell r="AG140">
            <v>0</v>
          </cell>
          <cell r="AH140">
            <v>11.860524790207466</v>
          </cell>
          <cell r="AI140">
            <v>0</v>
          </cell>
          <cell r="AJ140">
            <v>0</v>
          </cell>
          <cell r="AK140" t="str">
            <v>solv.Less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</row>
        <row r="141">
          <cell r="K141" t="str">
            <v>SO24-2462</v>
          </cell>
          <cell r="L141" t="str">
            <v>EVERGREEN SPICE HALDI 50GM</v>
          </cell>
          <cell r="M141" t="str">
            <v>C24-2535</v>
          </cell>
          <cell r="O141" t="str">
            <v>BAL</v>
          </cell>
          <cell r="P141">
            <v>500</v>
          </cell>
          <cell r="Q141">
            <v>1</v>
          </cell>
          <cell r="R141">
            <v>500</v>
          </cell>
          <cell r="S141" t="str">
            <v>KG</v>
          </cell>
          <cell r="T141">
            <v>129.14134742404224</v>
          </cell>
          <cell r="U141">
            <v>8.4284915431433394</v>
          </cell>
          <cell r="V141">
            <v>0</v>
          </cell>
          <cell r="W141" t="str">
            <v>KG</v>
          </cell>
          <cell r="X141">
            <v>0</v>
          </cell>
          <cell r="Y141">
            <v>0</v>
          </cell>
          <cell r="Z141">
            <v>129.14134742404224</v>
          </cell>
          <cell r="AA141" t="str">
            <v>KG</v>
          </cell>
          <cell r="AB141">
            <v>8.4284915431433394</v>
          </cell>
          <cell r="AC141">
            <v>129.14134742404224</v>
          </cell>
          <cell r="AD141">
            <v>8.4284915431433394</v>
          </cell>
          <cell r="AE141">
            <v>0.8</v>
          </cell>
          <cell r="AF141">
            <v>0</v>
          </cell>
          <cell r="AG141">
            <v>0</v>
          </cell>
          <cell r="AH141">
            <v>16.856983086286679</v>
          </cell>
          <cell r="AI141">
            <v>0</v>
          </cell>
          <cell r="AJ141">
            <v>0</v>
          </cell>
          <cell r="AK141" t="str">
            <v>solv.Less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</row>
        <row r="142">
          <cell r="K142" t="str">
            <v>SO24-2408</v>
          </cell>
          <cell r="L142" t="str">
            <v>ITC A.Atta 1kg CL NO 2 (10;13;16;26;28;30;43;44 )(FPAT01666) </v>
          </cell>
          <cell r="M142" t="str">
            <v>C24-2536</v>
          </cell>
          <cell r="O142" t="str">
            <v>BAL</v>
          </cell>
          <cell r="P142">
            <v>40000</v>
          </cell>
          <cell r="Q142">
            <v>1</v>
          </cell>
          <cell r="R142">
            <v>40000</v>
          </cell>
          <cell r="S142" t="str">
            <v>KG</v>
          </cell>
          <cell r="T142">
            <v>13075.786593707251</v>
          </cell>
          <cell r="U142">
            <v>618.50369394575716</v>
          </cell>
          <cell r="V142" t="e">
            <v>#N/A</v>
          </cell>
          <cell r="W142" t="str">
            <v>KG</v>
          </cell>
          <cell r="X142">
            <v>13062</v>
          </cell>
          <cell r="Y142">
            <v>617.85156804313897</v>
          </cell>
          <cell r="Z142">
            <v>13.786593707251086</v>
          </cell>
          <cell r="AA142" t="str">
            <v>KG</v>
          </cell>
          <cell r="AB142">
            <v>0.65212590261819514</v>
          </cell>
          <cell r="AC142">
            <v>13075.786593707251</v>
          </cell>
          <cell r="AD142">
            <v>618.50369394575716</v>
          </cell>
          <cell r="AE142" t="e">
            <v>#N/A</v>
          </cell>
          <cell r="AF142">
            <v>0</v>
          </cell>
          <cell r="AG142" t="e">
            <v>#N/A</v>
          </cell>
          <cell r="AH142" t="e">
            <v>#N/A</v>
          </cell>
          <cell r="AI142">
            <v>0</v>
          </cell>
          <cell r="AJ142">
            <v>13062</v>
          </cell>
          <cell r="AK142" t="str">
            <v>solv.Less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</row>
        <row r="143">
          <cell r="K143" t="str">
            <v>SO24-2410</v>
          </cell>
          <cell r="L143" t="str">
            <v>ITC A.Atta 2kg CL NO 2 (10,13,16,26,28,30,43,44)(FPAT01667)</v>
          </cell>
          <cell r="M143" t="str">
            <v>C24-2537</v>
          </cell>
          <cell r="O143" t="str">
            <v>BAL</v>
          </cell>
          <cell r="P143">
            <v>5000</v>
          </cell>
          <cell r="Q143">
            <v>1</v>
          </cell>
          <cell r="R143">
            <v>5000</v>
          </cell>
          <cell r="S143" t="str">
            <v>KG</v>
          </cell>
          <cell r="T143">
            <v>1336.077844311377</v>
          </cell>
          <cell r="U143">
            <v>76.730960190172425</v>
          </cell>
          <cell r="V143" t="e">
            <v>#N/A</v>
          </cell>
          <cell r="W143" t="str">
            <v>KG</v>
          </cell>
          <cell r="X143">
            <v>0</v>
          </cell>
          <cell r="Y143">
            <v>0</v>
          </cell>
          <cell r="Z143">
            <v>1336.077844311377</v>
          </cell>
          <cell r="AA143" t="str">
            <v>KG</v>
          </cell>
          <cell r="AB143">
            <v>76.730960190172425</v>
          </cell>
          <cell r="AC143">
            <v>1336.077844311377</v>
          </cell>
          <cell r="AD143">
            <v>76.730960190172425</v>
          </cell>
          <cell r="AE143" t="e">
            <v>#N/A</v>
          </cell>
          <cell r="AF143">
            <v>0</v>
          </cell>
          <cell r="AG143" t="e">
            <v>#N/A</v>
          </cell>
          <cell r="AH143" t="e">
            <v>#N/A</v>
          </cell>
          <cell r="AI143">
            <v>0</v>
          </cell>
          <cell r="AJ143">
            <v>0</v>
          </cell>
          <cell r="AK143" t="str">
            <v>solv.Less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</row>
        <row r="144">
          <cell r="K144" t="str">
            <v>SO24-2411</v>
          </cell>
          <cell r="L144" t="str">
            <v>ITC A.Atta 5kg Mic per (CL No2-10;13;22;26;28;30;31;34;38:39)(FPAT01668)R2</v>
          </cell>
          <cell r="M144" t="str">
            <v>C24-2538</v>
          </cell>
          <cell r="O144" t="str">
            <v>BAL</v>
          </cell>
          <cell r="P144">
            <v>9000</v>
          </cell>
          <cell r="Q144">
            <v>1</v>
          </cell>
          <cell r="R144">
            <v>9000</v>
          </cell>
          <cell r="S144" t="str">
            <v>KG</v>
          </cell>
          <cell r="T144">
            <v>2415.8906125600133</v>
          </cell>
          <cell r="U144">
            <v>166.4696373857029</v>
          </cell>
          <cell r="V144" t="e">
            <v>#N/A</v>
          </cell>
          <cell r="W144" t="str">
            <v>KG</v>
          </cell>
          <cell r="X144">
            <v>2423</v>
          </cell>
          <cell r="Y144">
            <v>166.95951765719207</v>
          </cell>
          <cell r="Z144">
            <v>0</v>
          </cell>
          <cell r="AA144" t="str">
            <v>KG</v>
          </cell>
          <cell r="AB144">
            <v>0</v>
          </cell>
          <cell r="AC144">
            <v>2415.8906125600133</v>
          </cell>
          <cell r="AD144">
            <v>166.4696373857029</v>
          </cell>
          <cell r="AE144" t="e">
            <v>#N/A</v>
          </cell>
          <cell r="AF144">
            <v>0</v>
          </cell>
          <cell r="AG144" t="e">
            <v>#N/A</v>
          </cell>
          <cell r="AH144" t="e">
            <v>#N/A</v>
          </cell>
          <cell r="AI144">
            <v>0</v>
          </cell>
          <cell r="AJ144">
            <v>2423</v>
          </cell>
          <cell r="AK144" t="str">
            <v>solv.Less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</row>
        <row r="145">
          <cell r="K145" t="str">
            <v>SO24-2412</v>
          </cell>
          <cell r="L145" t="str">
            <v>ITC A.Atta 5kg Mic per (Cl no3 -10,16,22,26,28,36,41,43,44,56)(FPAT01668)R1</v>
          </cell>
          <cell r="M145" t="str">
            <v>C24-2539</v>
          </cell>
          <cell r="O145" t="str">
            <v>BAL</v>
          </cell>
          <cell r="P145">
            <v>30000</v>
          </cell>
          <cell r="Q145">
            <v>1</v>
          </cell>
          <cell r="R145">
            <v>30000</v>
          </cell>
          <cell r="S145" t="str">
            <v>KG</v>
          </cell>
          <cell r="T145">
            <v>8052.968708533379</v>
          </cell>
          <cell r="U145">
            <v>554.89879128567634</v>
          </cell>
          <cell r="V145" t="e">
            <v>#N/A</v>
          </cell>
          <cell r="W145" t="str">
            <v>KG</v>
          </cell>
          <cell r="X145">
            <v>4222</v>
          </cell>
          <cell r="Y145">
            <v>290.9216192937123</v>
          </cell>
          <cell r="Z145">
            <v>3830.968708533379</v>
          </cell>
          <cell r="AA145" t="str">
            <v>KG</v>
          </cell>
          <cell r="AB145">
            <v>263.97717199196404</v>
          </cell>
          <cell r="AC145">
            <v>8052.968708533379</v>
          </cell>
          <cell r="AD145">
            <v>554.89879128567634</v>
          </cell>
          <cell r="AE145" t="e">
            <v>#N/A</v>
          </cell>
          <cell r="AF145">
            <v>0</v>
          </cell>
          <cell r="AG145" t="e">
            <v>#N/A</v>
          </cell>
          <cell r="AH145" t="e">
            <v>#N/A</v>
          </cell>
          <cell r="AI145">
            <v>0</v>
          </cell>
          <cell r="AJ145">
            <v>4222</v>
          </cell>
          <cell r="AK145" t="str">
            <v>solv.Less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</row>
        <row r="146">
          <cell r="K146" t="str">
            <v>SO24-2450</v>
          </cell>
          <cell r="L146" t="str">
            <v>SteriPro Disposable Syringe 3ml </v>
          </cell>
          <cell r="M146" t="str">
            <v>C24-2540</v>
          </cell>
          <cell r="O146" t="str">
            <v>BAL</v>
          </cell>
          <cell r="P146">
            <v>500</v>
          </cell>
          <cell r="Q146">
            <v>1</v>
          </cell>
          <cell r="R146">
            <v>500</v>
          </cell>
          <cell r="S146" t="str">
            <v>KG</v>
          </cell>
          <cell r="T146">
            <v>201.79169457468183</v>
          </cell>
          <cell r="U146">
            <v>20.905640463577505</v>
          </cell>
          <cell r="V146" t="e">
            <v>#N/A</v>
          </cell>
          <cell r="W146" t="str">
            <v>KG</v>
          </cell>
          <cell r="X146">
            <v>206</v>
          </cell>
          <cell r="Y146">
            <v>21.341621341621344</v>
          </cell>
          <cell r="Z146">
            <v>0</v>
          </cell>
          <cell r="AA146" t="str">
            <v>KG</v>
          </cell>
          <cell r="AB146">
            <v>0</v>
          </cell>
          <cell r="AC146">
            <v>201.79169457468183</v>
          </cell>
          <cell r="AD146">
            <v>20.905640463577505</v>
          </cell>
          <cell r="AE146" t="e">
            <v>#N/A</v>
          </cell>
          <cell r="AF146">
            <v>0</v>
          </cell>
          <cell r="AG146" t="e">
            <v>#N/A</v>
          </cell>
          <cell r="AH146" t="e">
            <v>#N/A</v>
          </cell>
          <cell r="AI146">
            <v>0</v>
          </cell>
          <cell r="AJ146">
            <v>206</v>
          </cell>
          <cell r="AK146" t="str">
            <v>solv.Less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</row>
        <row r="147">
          <cell r="K147" t="str">
            <v>SO24-2569</v>
          </cell>
          <cell r="L147" t="str">
            <v>TRISHUL BESAN 500GM</v>
          </cell>
          <cell r="M147" t="str">
            <v>C24-2541</v>
          </cell>
          <cell r="O147" t="str">
            <v>BAL</v>
          </cell>
          <cell r="P147">
            <v>500</v>
          </cell>
          <cell r="Q147">
            <v>1</v>
          </cell>
          <cell r="R147">
            <v>500</v>
          </cell>
          <cell r="S147" t="str">
            <v>KG</v>
          </cell>
          <cell r="T147">
            <v>137.02816901408448</v>
          </cell>
          <cell r="U147">
            <v>9.9166427134233963</v>
          </cell>
          <cell r="V147">
            <v>453.71500667709876</v>
          </cell>
          <cell r="W147" t="str">
            <v>KG</v>
          </cell>
          <cell r="X147">
            <v>130</v>
          </cell>
          <cell r="Y147">
            <v>9.4080185265595606</v>
          </cell>
          <cell r="Z147">
            <v>7.028169014084483</v>
          </cell>
          <cell r="AA147" t="str">
            <v>KG</v>
          </cell>
          <cell r="AB147">
            <v>0.5086241868638357</v>
          </cell>
          <cell r="AC147">
            <v>7.028169014084483</v>
          </cell>
          <cell r="AD147">
            <v>0.50862418686383581</v>
          </cell>
          <cell r="AE147">
            <v>0.72</v>
          </cell>
          <cell r="AF147">
            <v>0</v>
          </cell>
          <cell r="AG147">
            <v>0</v>
          </cell>
          <cell r="AH147">
            <v>0.5086241868638357</v>
          </cell>
          <cell r="AI147">
            <v>130</v>
          </cell>
          <cell r="AJ147">
            <v>0</v>
          </cell>
          <cell r="AK147" t="str">
            <v>solv.Less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</row>
        <row r="148">
          <cell r="K148" t="str">
            <v>SO24-2570</v>
          </cell>
          <cell r="L148" t="str">
            <v>TRISHUL BESAN 1KG[POUCH]</v>
          </cell>
          <cell r="M148" t="str">
            <v>C24-2542</v>
          </cell>
          <cell r="O148" t="str">
            <v>BAL</v>
          </cell>
          <cell r="P148">
            <v>500</v>
          </cell>
          <cell r="Q148">
            <v>1</v>
          </cell>
          <cell r="R148">
            <v>500</v>
          </cell>
          <cell r="S148" t="str">
            <v>KG</v>
          </cell>
          <cell r="T148">
            <v>131.59285714285713</v>
          </cell>
          <cell r="U148">
            <v>8.6466165413533833</v>
          </cell>
          <cell r="V148">
            <v>473.83670114442356</v>
          </cell>
          <cell r="W148" t="str">
            <v>KG</v>
          </cell>
          <cell r="X148">
            <v>130</v>
          </cell>
          <cell r="Y148">
            <v>8.5419541362770239</v>
          </cell>
          <cell r="Z148">
            <v>1.5928571428571274</v>
          </cell>
          <cell r="AA148" t="str">
            <v>KG</v>
          </cell>
          <cell r="AB148">
            <v>0.10466240507635938</v>
          </cell>
          <cell r="AC148">
            <v>1.5928571428571274</v>
          </cell>
          <cell r="AD148">
            <v>0.10466240507636032</v>
          </cell>
          <cell r="AE148">
            <v>0.84</v>
          </cell>
          <cell r="AF148">
            <v>0</v>
          </cell>
          <cell r="AG148">
            <v>0</v>
          </cell>
          <cell r="AH148">
            <v>0.10466240507635938</v>
          </cell>
          <cell r="AI148">
            <v>130</v>
          </cell>
          <cell r="AJ148">
            <v>0</v>
          </cell>
          <cell r="AK148" t="str">
            <v>solv.Less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</row>
        <row r="149">
          <cell r="K149" t="str">
            <v>SO24-2571</v>
          </cell>
          <cell r="L149" t="str">
            <v>REPOSE- MUFFINS CAKE WITH VANILLA -CREAM  RS 5/-[3PLY]</v>
          </cell>
          <cell r="M149" t="str">
            <v>C24-2543</v>
          </cell>
          <cell r="O149" t="str">
            <v>BAL</v>
          </cell>
          <cell r="P149">
            <v>1000</v>
          </cell>
          <cell r="Q149">
            <v>1</v>
          </cell>
          <cell r="R149">
            <v>1000</v>
          </cell>
          <cell r="S149" t="str">
            <v>KG</v>
          </cell>
          <cell r="T149">
            <v>312.87878787878788</v>
          </cell>
          <cell r="U149">
            <v>24.551066217732885</v>
          </cell>
          <cell r="V149">
            <v>969.57946913975047</v>
          </cell>
          <cell r="W149" t="str">
            <v>KG</v>
          </cell>
          <cell r="X149">
            <v>315</v>
          </cell>
          <cell r="Y149">
            <v>24.717514124293782</v>
          </cell>
          <cell r="Z149">
            <v>0</v>
          </cell>
          <cell r="AA149" t="str">
            <v>KG</v>
          </cell>
          <cell r="AB149">
            <v>0</v>
          </cell>
          <cell r="AC149">
            <v>-2.1212121212121247</v>
          </cell>
          <cell r="AD149">
            <v>-0.16644790656090117</v>
          </cell>
          <cell r="AE149">
            <v>1.05</v>
          </cell>
          <cell r="AF149">
            <v>0</v>
          </cell>
          <cell r="AG149">
            <v>0</v>
          </cell>
          <cell r="AH149">
            <v>0</v>
          </cell>
          <cell r="AI149">
            <v>315</v>
          </cell>
          <cell r="AJ149">
            <v>0</v>
          </cell>
          <cell r="AK149" t="str">
            <v>Extrusion</v>
          </cell>
          <cell r="AL149">
            <v>1018.5</v>
          </cell>
          <cell r="AM149">
            <v>1016</v>
          </cell>
          <cell r="AN149">
            <v>0</v>
          </cell>
          <cell r="AO149">
            <v>1016</v>
          </cell>
        </row>
        <row r="150">
          <cell r="K150" t="str">
            <v>SO24-2546</v>
          </cell>
          <cell r="L150" t="str">
            <v>Nik Wik Muffin Vanilla &amp; Mix Fruit (4 in 1) Without Chocolate</v>
          </cell>
          <cell r="M150" t="str">
            <v>C24-2544</v>
          </cell>
          <cell r="O150" t="str">
            <v>BAL</v>
          </cell>
          <cell r="P150">
            <v>2000</v>
          </cell>
          <cell r="Q150">
            <v>1</v>
          </cell>
          <cell r="R150">
            <v>2000</v>
          </cell>
          <cell r="S150" t="str">
            <v>KG</v>
          </cell>
          <cell r="T150">
            <v>517.92173627096349</v>
          </cell>
          <cell r="U150">
            <v>40.383761112745688</v>
          </cell>
          <cell r="V150" t="e">
            <v>#N/A</v>
          </cell>
          <cell r="W150" t="str">
            <v>KG</v>
          </cell>
          <cell r="X150">
            <v>0</v>
          </cell>
          <cell r="Y150">
            <v>0</v>
          </cell>
          <cell r="Z150">
            <v>517.92173627096349</v>
          </cell>
          <cell r="AA150" t="str">
            <v>KG</v>
          </cell>
          <cell r="AB150">
            <v>40.383761112745688</v>
          </cell>
          <cell r="AC150">
            <v>517.92173627096349</v>
          </cell>
          <cell r="AD150">
            <v>40.383761112745688</v>
          </cell>
          <cell r="AE150" t="e">
            <v>#N/A</v>
          </cell>
          <cell r="AF150">
            <v>40.383761112745688</v>
          </cell>
          <cell r="AG150" t="e">
            <v>#N/A</v>
          </cell>
          <cell r="AH150" t="e">
            <v>#N/A</v>
          </cell>
          <cell r="AI150">
            <v>0</v>
          </cell>
          <cell r="AJ150">
            <v>0</v>
          </cell>
          <cell r="AK150" t="str">
            <v>Extrusion</v>
          </cell>
          <cell r="AL150">
            <v>1332.9924366984544</v>
          </cell>
          <cell r="AM150">
            <v>0</v>
          </cell>
          <cell r="AN150">
            <v>0</v>
          </cell>
          <cell r="AO150">
            <v>0</v>
          </cell>
        </row>
        <row r="151">
          <cell r="K151" t="str">
            <v>TSO24-61</v>
          </cell>
          <cell r="L151" t="str">
            <v>Plain pouch SPINZ Detan 12gm (10/12/25)</v>
          </cell>
          <cell r="M151" t="str">
            <v>C24-2545</v>
          </cell>
          <cell r="O151" t="str">
            <v>BAL</v>
          </cell>
          <cell r="P151">
            <v>3000</v>
          </cell>
          <cell r="Q151">
            <v>1</v>
          </cell>
          <cell r="R151">
            <v>3000</v>
          </cell>
          <cell r="S151" t="str">
            <v>KG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str">
            <v>KG</v>
          </cell>
          <cell r="X151">
            <v>0</v>
          </cell>
          <cell r="Y151" t="e">
            <v>#DIV/0!</v>
          </cell>
          <cell r="Z151" t="e">
            <v>#DIV/0!</v>
          </cell>
          <cell r="AA151" t="str">
            <v>KG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#N/A</v>
          </cell>
          <cell r="AF151">
            <v>0</v>
          </cell>
          <cell r="AG151" t="e">
            <v>#N/A</v>
          </cell>
          <cell r="AH151" t="e">
            <v>#N/A</v>
          </cell>
          <cell r="AI151">
            <v>0</v>
          </cell>
          <cell r="AJ151">
            <v>0</v>
          </cell>
          <cell r="AK151">
            <v>0</v>
          </cell>
          <cell r="AL151" t="e">
            <v>#DIV/0!</v>
          </cell>
          <cell r="AM151">
            <v>0</v>
          </cell>
          <cell r="AN151">
            <v>0</v>
          </cell>
          <cell r="AO151">
            <v>0</v>
          </cell>
        </row>
        <row r="152">
          <cell r="K152" t="str">
            <v>SO24-2485</v>
          </cell>
          <cell r="L152" t="str">
            <v>Repose Ross Kata Cookies(Red)</v>
          </cell>
          <cell r="M152" t="str">
            <v>C24-2546</v>
          </cell>
          <cell r="O152" t="str">
            <v>BAL</v>
          </cell>
          <cell r="P152">
            <v>1000</v>
          </cell>
          <cell r="Q152">
            <v>1</v>
          </cell>
          <cell r="R152">
            <v>1000</v>
          </cell>
          <cell r="S152" t="str">
            <v>KG</v>
          </cell>
          <cell r="T152">
            <v>375.99999999999994</v>
          </cell>
          <cell r="U152">
            <v>19.323671497584542</v>
          </cell>
          <cell r="V152">
            <v>1095.4915958319518</v>
          </cell>
          <cell r="W152" t="str">
            <v>KG</v>
          </cell>
          <cell r="X152">
            <v>426</v>
          </cell>
          <cell r="Y152">
            <v>21.893308664816534</v>
          </cell>
          <cell r="Z152">
            <v>0</v>
          </cell>
          <cell r="AA152" t="str">
            <v>KG</v>
          </cell>
          <cell r="AB152">
            <v>0</v>
          </cell>
          <cell r="AC152">
            <v>375.99999999999994</v>
          </cell>
          <cell r="AD152">
            <v>19.323671497584542</v>
          </cell>
          <cell r="AE152">
            <v>1.02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426</v>
          </cell>
          <cell r="AK152" t="str">
            <v>solv.Less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</row>
        <row r="153">
          <cell r="K153" t="str">
            <v>SO24-2486</v>
          </cell>
          <cell r="L153" t="str">
            <v>MAAZA GOLD- TEA RS 10/-[12/12/40]</v>
          </cell>
          <cell r="M153" t="str">
            <v>C24-2547</v>
          </cell>
          <cell r="O153" t="str">
            <v>BAL</v>
          </cell>
          <cell r="P153">
            <v>2000</v>
          </cell>
          <cell r="Q153">
            <v>1</v>
          </cell>
          <cell r="R153">
            <v>2000</v>
          </cell>
          <cell r="S153" t="str">
            <v>KG</v>
          </cell>
          <cell r="T153">
            <v>510.34482758620675</v>
          </cell>
          <cell r="U153">
            <v>33.848106621535855</v>
          </cell>
          <cell r="V153">
            <v>1924.8474078894276</v>
          </cell>
          <cell r="W153" t="str">
            <v>KG</v>
          </cell>
          <cell r="X153">
            <v>510</v>
          </cell>
          <cell r="Y153">
            <v>33.825236279224022</v>
          </cell>
          <cell r="Z153">
            <v>0.34482758620674758</v>
          </cell>
          <cell r="AA153" t="str">
            <v>KG</v>
          </cell>
          <cell r="AB153">
            <v>2.2870342311833269E-2</v>
          </cell>
          <cell r="AC153">
            <v>510.34482758620675</v>
          </cell>
          <cell r="AD153">
            <v>33.848106621535855</v>
          </cell>
          <cell r="AE153">
            <v>0.8</v>
          </cell>
          <cell r="AF153">
            <v>0</v>
          </cell>
          <cell r="AG153">
            <v>0</v>
          </cell>
          <cell r="AH153">
            <v>4.5740684623666539E-2</v>
          </cell>
          <cell r="AI153">
            <v>0</v>
          </cell>
          <cell r="AJ153">
            <v>510</v>
          </cell>
          <cell r="AK153" t="str">
            <v>solv.Less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</row>
        <row r="154">
          <cell r="K154" t="str">
            <v>SO24-2519</v>
          </cell>
          <cell r="L154" t="str">
            <v>GOALZY VEG NOODLES Rs.5/-215MM(12+25W)[PM022]</v>
          </cell>
          <cell r="M154" t="str">
            <v>C24-2549</v>
          </cell>
          <cell r="O154" t="str">
            <v>BAL</v>
          </cell>
          <cell r="P154">
            <v>1600</v>
          </cell>
          <cell r="Q154">
            <v>1</v>
          </cell>
          <cell r="R154">
            <v>1600</v>
          </cell>
          <cell r="S154" t="str">
            <v>KG</v>
          </cell>
          <cell r="T154">
            <v>678.59371362048887</v>
          </cell>
          <cell r="U154">
            <v>35.211379909738945</v>
          </cell>
          <cell r="V154">
            <v>0</v>
          </cell>
          <cell r="W154" t="str">
            <v>KG</v>
          </cell>
          <cell r="X154">
            <v>0</v>
          </cell>
          <cell r="Y154">
            <v>0</v>
          </cell>
          <cell r="Z154">
            <v>678.59371362048887</v>
          </cell>
          <cell r="AA154" t="str">
            <v>KG</v>
          </cell>
          <cell r="AB154">
            <v>35.211379909738945</v>
          </cell>
          <cell r="AC154">
            <v>678.59371362048887</v>
          </cell>
          <cell r="AD154">
            <v>35.211379909738945</v>
          </cell>
          <cell r="AE154">
            <v>1.075</v>
          </cell>
          <cell r="AF154">
            <v>0</v>
          </cell>
          <cell r="AG154">
            <v>0</v>
          </cell>
          <cell r="AH154">
            <v>35.211379909738945</v>
          </cell>
          <cell r="AI154">
            <v>0</v>
          </cell>
          <cell r="AJ154">
            <v>0</v>
          </cell>
          <cell r="AK154" t="str">
            <v>solv.Less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</row>
        <row r="155">
          <cell r="K155" t="str">
            <v>SO24-2522</v>
          </cell>
          <cell r="L155" t="str">
            <v>KEEKOO VEG MASALA NOODLES RS 5/-215MM(12+25W)</v>
          </cell>
          <cell r="M155" t="str">
            <v>C24-2552</v>
          </cell>
          <cell r="O155" t="str">
            <v>BAL</v>
          </cell>
          <cell r="P155">
            <v>3000</v>
          </cell>
          <cell r="Q155">
            <v>1</v>
          </cell>
          <cell r="R155">
            <v>3000</v>
          </cell>
          <cell r="S155" t="str">
            <v>KG</v>
          </cell>
          <cell r="T155">
            <v>1272.3632130384165</v>
          </cell>
          <cell r="U155">
            <v>66.021337330760517</v>
          </cell>
          <cell r="V155">
            <v>0</v>
          </cell>
          <cell r="W155" t="str">
            <v>KG</v>
          </cell>
          <cell r="X155">
            <v>0</v>
          </cell>
          <cell r="Y155">
            <v>0</v>
          </cell>
          <cell r="Z155">
            <v>1272.3632130384165</v>
          </cell>
          <cell r="AA155" t="str">
            <v>KG</v>
          </cell>
          <cell r="AB155">
            <v>66.021337330760517</v>
          </cell>
          <cell r="AC155">
            <v>1272.3632130384165</v>
          </cell>
          <cell r="AD155">
            <v>66.021337330760517</v>
          </cell>
          <cell r="AE155">
            <v>1.075</v>
          </cell>
          <cell r="AF155">
            <v>0</v>
          </cell>
          <cell r="AG155">
            <v>0</v>
          </cell>
          <cell r="AH155">
            <v>66.021337330760517</v>
          </cell>
          <cell r="AI155">
            <v>0</v>
          </cell>
          <cell r="AJ155">
            <v>0</v>
          </cell>
          <cell r="AK155" t="str">
            <v>solv.Less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</row>
        <row r="156">
          <cell r="K156" t="str">
            <v>SO24-2523</v>
          </cell>
          <cell r="L156" t="str">
            <v>YUMMY- NON VEG SEASONING TWIN PACK RED RS 5/-140MM[12/30N][PMO88]</v>
          </cell>
          <cell r="M156" t="str">
            <v>C24-2553</v>
          </cell>
          <cell r="O156" t="str">
            <v>COMPLETED</v>
          </cell>
          <cell r="P156">
            <v>3200</v>
          </cell>
          <cell r="Q156">
            <v>1</v>
          </cell>
          <cell r="R156">
            <v>3200</v>
          </cell>
          <cell r="S156" t="str">
            <v>KG</v>
          </cell>
          <cell r="T156">
            <v>1232.206451612903</v>
          </cell>
          <cell r="U156">
            <v>83.305036785512172</v>
          </cell>
          <cell r="V156">
            <v>3056.7415375607743</v>
          </cell>
          <cell r="W156" t="str">
            <v>KG</v>
          </cell>
          <cell r="X156">
            <v>1227</v>
          </cell>
          <cell r="Y156">
            <v>82.953047358280116</v>
          </cell>
          <cell r="Z156">
            <v>5.206451612903038</v>
          </cell>
          <cell r="AA156" t="str">
            <v>KG</v>
          </cell>
          <cell r="AB156">
            <v>0.35198942723205562</v>
          </cell>
          <cell r="AC156">
            <v>5.206451612903038</v>
          </cell>
          <cell r="AD156">
            <v>0.35198942723206156</v>
          </cell>
          <cell r="AE156">
            <v>0.84</v>
          </cell>
          <cell r="AF156">
            <v>0</v>
          </cell>
          <cell r="AG156">
            <v>0</v>
          </cell>
          <cell r="AH156">
            <v>0.35198942723205562</v>
          </cell>
          <cell r="AI156">
            <v>1227</v>
          </cell>
          <cell r="AJ156">
            <v>0</v>
          </cell>
          <cell r="AK156" t="str">
            <v>solv.Less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</row>
        <row r="157">
          <cell r="K157" t="str">
            <v>SO24-2524</v>
          </cell>
          <cell r="L157" t="str">
            <v>KEEKO BHUJIA CHICKEN RS 1/- [140MM]-[12/30W][PMO35]</v>
          </cell>
          <cell r="M157" t="str">
            <v>C24-2554</v>
          </cell>
          <cell r="O157" t="str">
            <v>BAL</v>
          </cell>
          <cell r="P157">
            <v>1500</v>
          </cell>
          <cell r="Q157">
            <v>1</v>
          </cell>
          <cell r="R157">
            <v>1500</v>
          </cell>
          <cell r="S157" t="str">
            <v>KG</v>
          </cell>
          <cell r="T157">
            <v>574.13361169102291</v>
          </cell>
          <cell r="U157">
            <v>37.724792147383077</v>
          </cell>
          <cell r="V157">
            <v>0</v>
          </cell>
          <cell r="W157" t="str">
            <v>KG</v>
          </cell>
          <cell r="X157">
            <v>0</v>
          </cell>
          <cell r="Y157">
            <v>0</v>
          </cell>
          <cell r="Z157">
            <v>574.13361169102291</v>
          </cell>
          <cell r="AA157" t="str">
            <v>KG</v>
          </cell>
          <cell r="AB157">
            <v>37.724792147383077</v>
          </cell>
          <cell r="AC157">
            <v>574.13361169102291</v>
          </cell>
          <cell r="AD157">
            <v>37.724792147383077</v>
          </cell>
          <cell r="AE157">
            <v>0.84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 t="str">
            <v>solv.Less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</row>
        <row r="158">
          <cell r="K158" t="str">
            <v>SO24-2526</v>
          </cell>
          <cell r="L158" t="str">
            <v>Keekoo Veg Seasoning Twin Pack 90mm (12/30N)PM065</v>
          </cell>
          <cell r="M158" t="str">
            <v>C24-2556</v>
          </cell>
          <cell r="O158" t="str">
            <v>BAL</v>
          </cell>
          <cell r="P158">
            <v>500</v>
          </cell>
          <cell r="Q158">
            <v>1</v>
          </cell>
          <cell r="R158">
            <v>500</v>
          </cell>
          <cell r="S158" t="str">
            <v>KG</v>
          </cell>
          <cell r="T158">
            <v>195.57324840764326</v>
          </cell>
          <cell r="U158">
            <v>14.948654621084103</v>
          </cell>
          <cell r="V158" t="e">
            <v>#N/A</v>
          </cell>
          <cell r="W158" t="str">
            <v>KG</v>
          </cell>
          <cell r="X158">
            <v>198</v>
          </cell>
          <cell r="Y158">
            <v>15.134143545058476</v>
          </cell>
          <cell r="Z158">
            <v>0</v>
          </cell>
          <cell r="AA158" t="str">
            <v>KG</v>
          </cell>
          <cell r="AB158">
            <v>0</v>
          </cell>
          <cell r="AC158">
            <v>-102.42675159235674</v>
          </cell>
          <cell r="AD158">
            <v>-7.8289957649129978</v>
          </cell>
          <cell r="AE158" t="e">
            <v>#N/A</v>
          </cell>
          <cell r="AF158">
            <v>0</v>
          </cell>
          <cell r="AG158" t="e">
            <v>#N/A</v>
          </cell>
          <cell r="AH158" t="e">
            <v>#N/A</v>
          </cell>
          <cell r="AI158">
            <v>298</v>
          </cell>
          <cell r="AJ158">
            <v>-100</v>
          </cell>
          <cell r="AK158" t="str">
            <v>solv.Less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</row>
        <row r="159">
          <cell r="K159" t="str">
            <v>SO24-2527</v>
          </cell>
          <cell r="L159" t="str">
            <v>YUMMY BHUJIA (CHICKEN) RS 1/- 140MM, [12/30W][PMO74]</v>
          </cell>
          <cell r="M159" t="str">
            <v>C24-2557</v>
          </cell>
          <cell r="O159" t="str">
            <v>COMPLETED</v>
          </cell>
          <cell r="P159">
            <v>2000</v>
          </cell>
          <cell r="Q159">
            <v>1</v>
          </cell>
          <cell r="R159">
            <v>2000</v>
          </cell>
          <cell r="S159" t="str">
            <v>KG</v>
          </cell>
          <cell r="T159">
            <v>767.62499999999989</v>
          </cell>
          <cell r="U159">
            <v>50.438596491228068</v>
          </cell>
          <cell r="V159">
            <v>1934.5034198810574</v>
          </cell>
          <cell r="W159" t="str">
            <v>KG</v>
          </cell>
          <cell r="X159">
            <v>774</v>
          </cell>
          <cell r="Y159">
            <v>50.857480780603204</v>
          </cell>
          <cell r="Z159">
            <v>0</v>
          </cell>
          <cell r="AA159" t="str">
            <v>KG</v>
          </cell>
          <cell r="AB159">
            <v>0</v>
          </cell>
          <cell r="AC159">
            <v>-6.3750000000001137</v>
          </cell>
          <cell r="AD159">
            <v>-0.41888428937513073</v>
          </cell>
          <cell r="AE159">
            <v>0.84</v>
          </cell>
          <cell r="AF159">
            <v>0</v>
          </cell>
          <cell r="AG159">
            <v>0</v>
          </cell>
          <cell r="AH159">
            <v>0</v>
          </cell>
          <cell r="AI159">
            <v>774</v>
          </cell>
          <cell r="AJ159">
            <v>0</v>
          </cell>
          <cell r="AK159" t="str">
            <v>solv.Less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</row>
        <row r="160">
          <cell r="K160" t="str">
            <v>SO24-2544</v>
          </cell>
          <cell r="L160" t="str">
            <v>Krishan Payel Matar Mixture Rs.5/- (Nat Ext)</v>
          </cell>
          <cell r="M160" t="str">
            <v>C24-2569</v>
          </cell>
          <cell r="O160" t="str">
            <v>BAL</v>
          </cell>
          <cell r="P160">
            <v>2000</v>
          </cell>
          <cell r="Q160">
            <v>1</v>
          </cell>
          <cell r="R160">
            <v>2000</v>
          </cell>
          <cell r="S160" t="str">
            <v>KG</v>
          </cell>
          <cell r="T160">
            <v>544.39403758911214</v>
          </cell>
          <cell r="U160">
            <v>39.334829305571688</v>
          </cell>
          <cell r="V160" t="e">
            <v>#N/A</v>
          </cell>
          <cell r="W160" t="str">
            <v>KG</v>
          </cell>
          <cell r="X160">
            <v>0</v>
          </cell>
          <cell r="Y160">
            <v>0</v>
          </cell>
          <cell r="Z160">
            <v>544.39403758911214</v>
          </cell>
          <cell r="AA160" t="str">
            <v>KG</v>
          </cell>
          <cell r="AB160">
            <v>39.334829305571688</v>
          </cell>
          <cell r="AC160">
            <v>544.39403758911214</v>
          </cell>
          <cell r="AD160">
            <v>39.334829305571688</v>
          </cell>
          <cell r="AE160" t="e">
            <v>#N/A</v>
          </cell>
          <cell r="AF160">
            <v>39.334829305571688</v>
          </cell>
          <cell r="AG160" t="e">
            <v>#N/A</v>
          </cell>
          <cell r="AH160" t="e">
            <v>#N/A</v>
          </cell>
          <cell r="AI160">
            <v>0</v>
          </cell>
          <cell r="AJ160">
            <v>0</v>
          </cell>
          <cell r="AK160" t="str">
            <v>Extrusion</v>
          </cell>
          <cell r="AL160">
            <v>1346.5586519766689</v>
          </cell>
          <cell r="AM160">
            <v>0</v>
          </cell>
          <cell r="AN160">
            <v>0</v>
          </cell>
          <cell r="AO160">
            <v>0</v>
          </cell>
        </row>
        <row r="161">
          <cell r="K161" t="str">
            <v>SO24-2556</v>
          </cell>
          <cell r="L161" t="str">
            <v>ACTION TEA 500gm</v>
          </cell>
          <cell r="M161" t="str">
            <v>C24-2570</v>
          </cell>
          <cell r="O161" t="str">
            <v>BAL</v>
          </cell>
          <cell r="P161">
            <v>174</v>
          </cell>
          <cell r="Q161">
            <v>8.6999999999999993</v>
          </cell>
          <cell r="R161">
            <v>20000</v>
          </cell>
          <cell r="S161" t="str">
            <v>NO</v>
          </cell>
          <cell r="T161">
            <v>38.826666666666661</v>
          </cell>
          <cell r="U161">
            <v>2.8357191547375598</v>
          </cell>
          <cell r="V161">
            <v>0</v>
          </cell>
          <cell r="W161" t="str">
            <v>NO</v>
          </cell>
          <cell r="X161">
            <v>0</v>
          </cell>
          <cell r="Y161">
            <v>0</v>
          </cell>
          <cell r="Z161">
            <v>38.826666666666661</v>
          </cell>
          <cell r="AA161" t="str">
            <v>NO</v>
          </cell>
          <cell r="AB161">
            <v>2.8357191547375598</v>
          </cell>
          <cell r="AC161">
            <v>38.826666666666661</v>
          </cell>
          <cell r="AD161">
            <v>2.8357191547375598</v>
          </cell>
          <cell r="AE161">
            <v>0.8</v>
          </cell>
          <cell r="AF161">
            <v>0</v>
          </cell>
          <cell r="AG161">
            <v>0</v>
          </cell>
          <cell r="AH161">
            <v>5.6714383094751195</v>
          </cell>
          <cell r="AI161">
            <v>0</v>
          </cell>
          <cell r="AJ161">
            <v>0</v>
          </cell>
          <cell r="AK161" t="str">
            <v>solv.Less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</row>
        <row r="162">
          <cell r="K162" t="str">
            <v>SO24-2548</v>
          </cell>
          <cell r="L162" t="str">
            <v>Oxifill label 2Ltr</v>
          </cell>
          <cell r="M162" t="str">
            <v>C24-2571</v>
          </cell>
          <cell r="O162" t="str">
            <v>BAL</v>
          </cell>
          <cell r="P162">
            <v>200</v>
          </cell>
          <cell r="Q162">
            <v>1</v>
          </cell>
          <cell r="R162">
            <v>200</v>
          </cell>
          <cell r="S162" t="str">
            <v>KG</v>
          </cell>
          <cell r="T162">
            <v>206</v>
          </cell>
          <cell r="U162">
            <v>12.858926342072412</v>
          </cell>
          <cell r="V162" t="e">
            <v>#N/A</v>
          </cell>
          <cell r="W162" t="str">
            <v>KG</v>
          </cell>
          <cell r="X162">
            <v>0</v>
          </cell>
          <cell r="Y162">
            <v>0</v>
          </cell>
          <cell r="Z162">
            <v>206</v>
          </cell>
          <cell r="AA162" t="str">
            <v>KG</v>
          </cell>
          <cell r="AB162">
            <v>12.858926342072412</v>
          </cell>
          <cell r="AC162">
            <v>206</v>
          </cell>
          <cell r="AD162">
            <v>12.858926342072412</v>
          </cell>
          <cell r="AE162" t="e">
            <v>#N/A</v>
          </cell>
          <cell r="AF162">
            <v>0</v>
          </cell>
          <cell r="AG162" t="e">
            <v>#N/A</v>
          </cell>
          <cell r="AH162" t="e">
            <v>#N/A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</row>
        <row r="163">
          <cell r="K163" t="str">
            <v>SO24-2549</v>
          </cell>
          <cell r="L163" t="str">
            <v>OXYFHILL LABEL 500ML</v>
          </cell>
          <cell r="M163" t="str">
            <v>C24-2572</v>
          </cell>
          <cell r="O163" t="str">
            <v>BAL</v>
          </cell>
          <cell r="P163">
            <v>300</v>
          </cell>
          <cell r="Q163">
            <v>1</v>
          </cell>
          <cell r="R163">
            <v>300</v>
          </cell>
          <cell r="S163" t="str">
            <v>KG</v>
          </cell>
          <cell r="T163">
            <v>315</v>
          </cell>
          <cell r="U163">
            <v>18.69691411884115</v>
          </cell>
          <cell r="V163" t="e">
            <v>#N/A</v>
          </cell>
          <cell r="W163" t="str">
            <v>KG</v>
          </cell>
          <cell r="X163">
            <v>0</v>
          </cell>
          <cell r="Y163">
            <v>0</v>
          </cell>
          <cell r="Z163">
            <v>315</v>
          </cell>
          <cell r="AA163" t="str">
            <v>KG</v>
          </cell>
          <cell r="AB163">
            <v>18.69691411884115</v>
          </cell>
          <cell r="AC163">
            <v>315</v>
          </cell>
          <cell r="AD163">
            <v>18.69691411884115</v>
          </cell>
          <cell r="AE163" t="e">
            <v>#N/A</v>
          </cell>
          <cell r="AF163">
            <v>0</v>
          </cell>
          <cell r="AG163" t="e">
            <v>#N/A</v>
          </cell>
          <cell r="AH163" t="e">
            <v>#N/A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</row>
        <row r="164">
          <cell r="K164" t="str">
            <v>SO24-2550</v>
          </cell>
          <cell r="L164" t="str">
            <v>DOLPHINE FRESO 1000ML-70MMX272MM</v>
          </cell>
          <cell r="M164" t="str">
            <v>C24-2573</v>
          </cell>
          <cell r="O164" t="str">
            <v>BAL</v>
          </cell>
          <cell r="P164">
            <v>200</v>
          </cell>
          <cell r="Q164">
            <v>1</v>
          </cell>
          <cell r="R164">
            <v>200</v>
          </cell>
          <cell r="S164" t="str">
            <v>KG</v>
          </cell>
          <cell r="T164">
            <v>206</v>
          </cell>
          <cell r="U164">
            <v>11.779169168310604</v>
          </cell>
          <cell r="V164" t="e">
            <v>#N/A</v>
          </cell>
          <cell r="W164" t="str">
            <v>KG</v>
          </cell>
          <cell r="X164">
            <v>0</v>
          </cell>
          <cell r="Y164">
            <v>0</v>
          </cell>
          <cell r="Z164">
            <v>206</v>
          </cell>
          <cell r="AA164" t="str">
            <v>KG</v>
          </cell>
          <cell r="AB164">
            <v>11.779169168310604</v>
          </cell>
          <cell r="AC164">
            <v>206</v>
          </cell>
          <cell r="AD164">
            <v>11.779169168310604</v>
          </cell>
          <cell r="AE164" t="e">
            <v>#N/A</v>
          </cell>
          <cell r="AF164">
            <v>0</v>
          </cell>
          <cell r="AG164" t="e">
            <v>#N/A</v>
          </cell>
          <cell r="AH164" t="e">
            <v>#N/A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</row>
        <row r="165">
          <cell r="K165" t="str">
            <v>SO24-2574</v>
          </cell>
          <cell r="L165" t="str">
            <v>RAJ BHOG ATTA- 1KG[ROLL]</v>
          </cell>
          <cell r="M165" t="str">
            <v>C24-2574</v>
          </cell>
          <cell r="O165" t="str">
            <v>COMPLETED</v>
          </cell>
          <cell r="P165">
            <v>1000</v>
          </cell>
          <cell r="Q165">
            <v>1</v>
          </cell>
          <cell r="R165">
            <v>1000</v>
          </cell>
          <cell r="S165" t="str">
            <v>KG</v>
          </cell>
          <cell r="T165">
            <v>256.40918580375779</v>
          </cell>
          <cell r="U165">
            <v>16.847965425044865</v>
          </cell>
          <cell r="V165">
            <v>980.20151077290427</v>
          </cell>
          <cell r="W165" t="str">
            <v>KG</v>
          </cell>
          <cell r="X165">
            <v>262</v>
          </cell>
          <cell r="Y165">
            <v>17.215322951573693</v>
          </cell>
          <cell r="Z165">
            <v>0</v>
          </cell>
          <cell r="AA165" t="str">
            <v>KG</v>
          </cell>
          <cell r="AB165">
            <v>0</v>
          </cell>
          <cell r="AC165">
            <v>-5.5908141962422064</v>
          </cell>
          <cell r="AD165">
            <v>-0.36735752652882631</v>
          </cell>
          <cell r="AE165">
            <v>0.84</v>
          </cell>
          <cell r="AF165">
            <v>0</v>
          </cell>
          <cell r="AG165">
            <v>0</v>
          </cell>
          <cell r="AH165">
            <v>0</v>
          </cell>
          <cell r="AI165">
            <v>262</v>
          </cell>
          <cell r="AJ165">
            <v>0</v>
          </cell>
          <cell r="AK165" t="str">
            <v>solv.Less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</row>
        <row r="166">
          <cell r="K166" t="str">
            <v>SO24-2470</v>
          </cell>
          <cell r="L166" t="str">
            <v>ITC A.Atta 1kg(CL NO.3- 10;22;26;28;29;38;39;56 )(FPAT01666)</v>
          </cell>
          <cell r="M166" t="str">
            <v>C24-2575</v>
          </cell>
          <cell r="O166" t="str">
            <v>BAL</v>
          </cell>
          <cell r="P166">
            <v>10000</v>
          </cell>
          <cell r="Q166">
            <v>1</v>
          </cell>
          <cell r="R166">
            <v>10000</v>
          </cell>
          <cell r="S166" t="str">
            <v>KG</v>
          </cell>
          <cell r="T166">
            <v>3268.9466484268128</v>
          </cell>
          <cell r="U166">
            <v>154.62592348643929</v>
          </cell>
          <cell r="V166" t="e">
            <v>#N/A</v>
          </cell>
          <cell r="W166" t="str">
            <v>KG</v>
          </cell>
          <cell r="X166">
            <v>0</v>
          </cell>
          <cell r="Y166">
            <v>0</v>
          </cell>
          <cell r="Z166">
            <v>3268.9466484268128</v>
          </cell>
          <cell r="AA166" t="str">
            <v>KG</v>
          </cell>
          <cell r="AB166">
            <v>154.62592348643929</v>
          </cell>
          <cell r="AC166">
            <v>3268.9466484268128</v>
          </cell>
          <cell r="AD166">
            <v>154.62592348643929</v>
          </cell>
          <cell r="AE166" t="e">
            <v>#N/A</v>
          </cell>
          <cell r="AF166">
            <v>0</v>
          </cell>
          <cell r="AG166" t="e">
            <v>#N/A</v>
          </cell>
          <cell r="AH166" t="e">
            <v>#N/A</v>
          </cell>
          <cell r="AI166">
            <v>0</v>
          </cell>
          <cell r="AJ166">
            <v>0</v>
          </cell>
          <cell r="AK166" t="str">
            <v>solv.Less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</row>
        <row r="167">
          <cell r="K167" t="str">
            <v>SO24-2566</v>
          </cell>
          <cell r="L167" t="str">
            <v>BABA BRAND CHAKKI FRESH ATTA 1KG  Roll(R1)</v>
          </cell>
          <cell r="M167" t="str">
            <v>C24-2576</v>
          </cell>
          <cell r="O167" t="str">
            <v>BAL</v>
          </cell>
          <cell r="P167">
            <v>1500</v>
          </cell>
          <cell r="Q167">
            <v>1</v>
          </cell>
          <cell r="R167">
            <v>1500</v>
          </cell>
          <cell r="S167" t="str">
            <v>KG</v>
          </cell>
          <cell r="T167">
            <v>389.10478834142953</v>
          </cell>
          <cell r="U167">
            <v>25.567040432448231</v>
          </cell>
          <cell r="V167">
            <v>0</v>
          </cell>
          <cell r="W167" t="str">
            <v>KG</v>
          </cell>
          <cell r="X167">
            <v>0</v>
          </cell>
          <cell r="Y167">
            <v>0</v>
          </cell>
          <cell r="Z167">
            <v>389.10478834142953</v>
          </cell>
          <cell r="AA167" t="str">
            <v>KG</v>
          </cell>
          <cell r="AB167">
            <v>25.567040432448231</v>
          </cell>
          <cell r="AC167">
            <v>389.10478834142953</v>
          </cell>
          <cell r="AD167">
            <v>25.567040432448231</v>
          </cell>
          <cell r="AE167">
            <v>0.84</v>
          </cell>
          <cell r="AF167">
            <v>0</v>
          </cell>
          <cell r="AG167">
            <v>0</v>
          </cell>
          <cell r="AH167">
            <v>25.567040432448231</v>
          </cell>
          <cell r="AI167">
            <v>0</v>
          </cell>
          <cell r="AJ167">
            <v>0</v>
          </cell>
          <cell r="AK167" t="str">
            <v>solv.Less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</row>
        <row r="168">
          <cell r="K168" t="str">
            <v>SO24-2567</v>
          </cell>
          <cell r="L168" t="str">
            <v>BABA- SOOJI - 500 GM[ROLL]</v>
          </cell>
          <cell r="M168" t="str">
            <v>C24-2577</v>
          </cell>
          <cell r="O168" t="str">
            <v>BAL</v>
          </cell>
          <cell r="P168">
            <v>800</v>
          </cell>
          <cell r="Q168">
            <v>1</v>
          </cell>
          <cell r="R168">
            <v>800</v>
          </cell>
          <cell r="S168" t="str">
            <v>KG</v>
          </cell>
          <cell r="T168">
            <v>217.52542372881354</v>
          </cell>
          <cell r="U168">
            <v>17.854832449217234</v>
          </cell>
          <cell r="V168">
            <v>0</v>
          </cell>
          <cell r="W168" t="str">
            <v>KG</v>
          </cell>
          <cell r="X168">
            <v>0</v>
          </cell>
          <cell r="Y168">
            <v>0</v>
          </cell>
          <cell r="Z168">
            <v>217.52542372881354</v>
          </cell>
          <cell r="AA168" t="str">
            <v>KG</v>
          </cell>
          <cell r="AB168">
            <v>17.854832449217234</v>
          </cell>
          <cell r="AC168">
            <v>217.52542372881354</v>
          </cell>
          <cell r="AD168">
            <v>17.854832449217234</v>
          </cell>
          <cell r="AE168">
            <v>0.64</v>
          </cell>
          <cell r="AF168">
            <v>0</v>
          </cell>
          <cell r="AG168">
            <v>0</v>
          </cell>
          <cell r="AH168">
            <v>17.854832449217234</v>
          </cell>
          <cell r="AI168">
            <v>0</v>
          </cell>
          <cell r="AJ168">
            <v>0</v>
          </cell>
          <cell r="AK168" t="str">
            <v>solv.Less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</row>
        <row r="169">
          <cell r="K169" t="str">
            <v>SO24-2572</v>
          </cell>
          <cell r="L169" t="str">
            <v>ITC SUNFEAST BOUNCE DOUBLE CREAM INNER 70G COMMON(15BOPP/18METL.BOPP)FPBI03567</v>
          </cell>
          <cell r="M169" t="str">
            <v>C24-2578</v>
          </cell>
          <cell r="O169" t="str">
            <v>BAL</v>
          </cell>
          <cell r="P169">
            <v>3000</v>
          </cell>
          <cell r="Q169">
            <v>1</v>
          </cell>
          <cell r="R169">
            <v>3000</v>
          </cell>
          <cell r="S169" t="str">
            <v>KG</v>
          </cell>
          <cell r="T169">
            <v>1279.6363636363637</v>
          </cell>
          <cell r="U169">
            <v>96.590909090909108</v>
          </cell>
          <cell r="V169">
            <v>2837.4546246923705</v>
          </cell>
          <cell r="W169" t="str">
            <v>KG</v>
          </cell>
          <cell r="X169">
            <v>1326</v>
          </cell>
          <cell r="Y169">
            <v>100.09057971014492</v>
          </cell>
          <cell r="Z169">
            <v>0</v>
          </cell>
          <cell r="AA169" t="str">
            <v>KG</v>
          </cell>
          <cell r="AB169">
            <v>0</v>
          </cell>
          <cell r="AC169">
            <v>1279.6363636363637</v>
          </cell>
          <cell r="AD169">
            <v>96.590909090909108</v>
          </cell>
          <cell r="AE169">
            <v>0.94199999999999995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1326</v>
          </cell>
          <cell r="AK169" t="str">
            <v>solv.Less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</row>
        <row r="170">
          <cell r="K170" t="str">
            <v>SO24-2361</v>
          </cell>
          <cell r="L170" t="str">
            <v>Rohit Bakery Slice Bread (410x350)</v>
          </cell>
          <cell r="M170" t="str">
            <v>C24-2579</v>
          </cell>
          <cell r="O170" t="str">
            <v>BAL</v>
          </cell>
          <cell r="P170">
            <v>300</v>
          </cell>
          <cell r="Q170">
            <v>1</v>
          </cell>
          <cell r="R170">
            <v>300</v>
          </cell>
          <cell r="S170" t="str">
            <v>KG</v>
          </cell>
          <cell r="T170">
            <v>136.45161290322579</v>
          </cell>
          <cell r="U170">
            <v>8.6922928336874641</v>
          </cell>
          <cell r="V170" t="e">
            <v>#N/A</v>
          </cell>
          <cell r="W170" t="str">
            <v>KG</v>
          </cell>
          <cell r="X170">
            <v>140</v>
          </cell>
          <cell r="Y170">
            <v>8.91833354567461</v>
          </cell>
          <cell r="Z170">
            <v>0</v>
          </cell>
          <cell r="AA170" t="str">
            <v>KG</v>
          </cell>
          <cell r="AB170">
            <v>0</v>
          </cell>
          <cell r="AC170">
            <v>136.45161290322579</v>
          </cell>
          <cell r="AD170">
            <v>8.6922928336874641</v>
          </cell>
          <cell r="AE170" t="e">
            <v>#N/A</v>
          </cell>
          <cell r="AF170">
            <v>0</v>
          </cell>
          <cell r="AG170" t="e">
            <v>#N/A</v>
          </cell>
          <cell r="AH170" t="e">
            <v>#N/A</v>
          </cell>
          <cell r="AI170">
            <v>0</v>
          </cell>
          <cell r="AJ170">
            <v>140</v>
          </cell>
          <cell r="AK170" t="str">
            <v>solv.Less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</row>
        <row r="171">
          <cell r="K171" t="str">
            <v>SO24-2551</v>
          </cell>
          <cell r="L171" t="str">
            <v>LIN 40 GSM POSTER PAPER 10+15 (225MM)</v>
          </cell>
          <cell r="M171" t="str">
            <v>C24-2580</v>
          </cell>
          <cell r="O171" t="str">
            <v>BAL</v>
          </cell>
          <cell r="P171">
            <v>1000</v>
          </cell>
          <cell r="Q171">
            <v>1</v>
          </cell>
          <cell r="R171">
            <v>1000</v>
          </cell>
          <cell r="S171" t="str">
            <v>KG</v>
          </cell>
          <cell r="T171">
            <v>234.26294820717126</v>
          </cell>
          <cell r="U171">
            <v>15.156764247358391</v>
          </cell>
          <cell r="V171" t="e">
            <v>#N/A</v>
          </cell>
          <cell r="W171" t="str">
            <v>KG</v>
          </cell>
          <cell r="X171">
            <v>0</v>
          </cell>
          <cell r="Y171">
            <v>0</v>
          </cell>
          <cell r="Z171">
            <v>234.26294820717126</v>
          </cell>
          <cell r="AA171" t="str">
            <v>KG</v>
          </cell>
          <cell r="AB171">
            <v>15.156764247358391</v>
          </cell>
          <cell r="AC171">
            <v>234.26294820717126</v>
          </cell>
          <cell r="AD171">
            <v>15.156764247358391</v>
          </cell>
          <cell r="AE171" t="e">
            <v>#N/A</v>
          </cell>
          <cell r="AF171">
            <v>15.156764247358391</v>
          </cell>
          <cell r="AG171" t="e">
            <v>#N/A</v>
          </cell>
          <cell r="AH171" t="e">
            <v>#N/A</v>
          </cell>
          <cell r="AI171">
            <v>0</v>
          </cell>
          <cell r="AJ171">
            <v>0</v>
          </cell>
          <cell r="AK171" t="str">
            <v>solv.Less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</row>
        <row r="172">
          <cell r="K172" t="str">
            <v>SO24-2552</v>
          </cell>
          <cell r="L172" t="str">
            <v>LIN 40 GSM POSTER PAPER 10+30 (225MM)</v>
          </cell>
          <cell r="M172" t="str">
            <v>C24-2581</v>
          </cell>
          <cell r="O172" t="str">
            <v>BAL</v>
          </cell>
          <cell r="P172">
            <v>500</v>
          </cell>
          <cell r="Q172">
            <v>1</v>
          </cell>
          <cell r="R172">
            <v>500</v>
          </cell>
          <cell r="S172" t="str">
            <v>KG</v>
          </cell>
          <cell r="T172">
            <v>100.34129692832762</v>
          </cell>
          <cell r="U172">
            <v>6.4920611366671608</v>
          </cell>
          <cell r="V172" t="e">
            <v>#N/A</v>
          </cell>
          <cell r="W172" t="str">
            <v>KG</v>
          </cell>
          <cell r="X172">
            <v>0</v>
          </cell>
          <cell r="Y172">
            <v>0</v>
          </cell>
          <cell r="Z172">
            <v>100.34129692832762</v>
          </cell>
          <cell r="AA172" t="str">
            <v>KG</v>
          </cell>
          <cell r="AB172">
            <v>6.4920611366671608</v>
          </cell>
          <cell r="AC172">
            <v>100.34129692832762</v>
          </cell>
          <cell r="AD172">
            <v>6.4920611366671608</v>
          </cell>
          <cell r="AE172" t="e">
            <v>#N/A</v>
          </cell>
          <cell r="AF172">
            <v>0</v>
          </cell>
          <cell r="AG172" t="e">
            <v>#N/A</v>
          </cell>
          <cell r="AH172" t="e">
            <v>#N/A</v>
          </cell>
          <cell r="AI172">
            <v>0</v>
          </cell>
          <cell r="AJ172">
            <v>0</v>
          </cell>
          <cell r="AK172" t="str">
            <v>solv.Less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</row>
        <row r="173">
          <cell r="K173" t="str">
            <v>SO24-2553</v>
          </cell>
          <cell r="L173" t="str">
            <v>LIN 40 GSM POSTER PAPER (181MM)</v>
          </cell>
          <cell r="M173" t="str">
            <v>C24-2582</v>
          </cell>
          <cell r="O173" t="str">
            <v>BAL</v>
          </cell>
          <cell r="P173">
            <v>500</v>
          </cell>
          <cell r="Q173">
            <v>1</v>
          </cell>
          <cell r="R173">
            <v>500</v>
          </cell>
          <cell r="S173" t="str">
            <v>KG</v>
          </cell>
          <cell r="T173">
            <v>98.65771812080537</v>
          </cell>
          <cell r="U173">
            <v>7.6597607236650136</v>
          </cell>
          <cell r="V173" t="e">
            <v>#N/A</v>
          </cell>
          <cell r="W173" t="str">
            <v>KG</v>
          </cell>
          <cell r="X173">
            <v>0</v>
          </cell>
          <cell r="Y173">
            <v>0</v>
          </cell>
          <cell r="Z173">
            <v>98.65771812080537</v>
          </cell>
          <cell r="AA173" t="str">
            <v>KG</v>
          </cell>
          <cell r="AB173">
            <v>7.6597607236650136</v>
          </cell>
          <cell r="AC173">
            <v>98.65771812080537</v>
          </cell>
          <cell r="AD173">
            <v>7.6597607236650136</v>
          </cell>
          <cell r="AE173" t="e">
            <v>#N/A</v>
          </cell>
          <cell r="AF173">
            <v>7.6597607236650136</v>
          </cell>
          <cell r="AG173" t="e">
            <v>#N/A</v>
          </cell>
          <cell r="AH173" t="e">
            <v>#N/A</v>
          </cell>
          <cell r="AI173">
            <v>0</v>
          </cell>
          <cell r="AJ173">
            <v>0</v>
          </cell>
          <cell r="AK173" t="str">
            <v>solv.Base</v>
          </cell>
          <cell r="AL173">
            <v>501.04731543624172</v>
          </cell>
          <cell r="AM173">
            <v>0</v>
          </cell>
          <cell r="AN173">
            <v>0</v>
          </cell>
          <cell r="AO173">
            <v>0</v>
          </cell>
        </row>
        <row r="174">
          <cell r="K174" t="str">
            <v>SO24-2600</v>
          </cell>
          <cell r="L174" t="str">
            <v>TUIKUAL SOUTH CHOW -2PLY[POUCH]</v>
          </cell>
          <cell r="M174" t="str">
            <v>C24-2584</v>
          </cell>
          <cell r="O174" t="str">
            <v>BAL</v>
          </cell>
          <cell r="P174">
            <v>1500</v>
          </cell>
          <cell r="Q174">
            <v>1</v>
          </cell>
          <cell r="R174">
            <v>1500</v>
          </cell>
          <cell r="S174" t="str">
            <v>KG</v>
          </cell>
          <cell r="T174">
            <v>608.06249999999989</v>
          </cell>
          <cell r="U174">
            <v>46.53776978417266</v>
          </cell>
          <cell r="V174">
            <v>0</v>
          </cell>
          <cell r="W174" t="str">
            <v>KG</v>
          </cell>
          <cell r="X174">
            <v>0</v>
          </cell>
          <cell r="Y174">
            <v>0</v>
          </cell>
          <cell r="Z174">
            <v>608.06249999999989</v>
          </cell>
          <cell r="AA174" t="str">
            <v>KG</v>
          </cell>
          <cell r="AB174">
            <v>46.53776978417266</v>
          </cell>
          <cell r="AC174">
            <v>608.06249999999989</v>
          </cell>
          <cell r="AD174">
            <v>46.53776978417266</v>
          </cell>
          <cell r="AE174">
            <v>0.68</v>
          </cell>
          <cell r="AF174">
            <v>0</v>
          </cell>
          <cell r="AG174">
            <v>0</v>
          </cell>
          <cell r="AH174">
            <v>46.53776978417266</v>
          </cell>
          <cell r="AI174">
            <v>0</v>
          </cell>
          <cell r="AJ174">
            <v>0</v>
          </cell>
          <cell r="AK174" t="str">
            <v>solv.Less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</row>
        <row r="175">
          <cell r="K175" t="str">
            <v>SO24-2554</v>
          </cell>
          <cell r="L175" t="str">
            <v>YUMZEE RINGS MASALA RS 5/-[CW-280MM]</v>
          </cell>
          <cell r="M175" t="str">
            <v>C24-2585</v>
          </cell>
          <cell r="O175" t="str">
            <v>BAL</v>
          </cell>
          <cell r="P175">
            <v>500</v>
          </cell>
          <cell r="Q175">
            <v>1</v>
          </cell>
          <cell r="R175">
            <v>500</v>
          </cell>
          <cell r="S175" t="str">
            <v>KG</v>
          </cell>
          <cell r="T175">
            <v>135.86956521739131</v>
          </cell>
          <cell r="U175">
            <v>10.471642791321104</v>
          </cell>
          <cell r="V175" t="e">
            <v>#N/A</v>
          </cell>
          <cell r="W175" t="str">
            <v>KG</v>
          </cell>
          <cell r="X175">
            <v>0</v>
          </cell>
          <cell r="Y175">
            <v>0</v>
          </cell>
          <cell r="Z175">
            <v>135.86956521739131</v>
          </cell>
          <cell r="AA175" t="str">
            <v>KG</v>
          </cell>
          <cell r="AB175">
            <v>10.471642791321104</v>
          </cell>
          <cell r="AC175">
            <v>135.86956521739131</v>
          </cell>
          <cell r="AD175">
            <v>10.471642791321104</v>
          </cell>
          <cell r="AE175" t="e">
            <v>#N/A</v>
          </cell>
          <cell r="AF175">
            <v>10.471642791321104</v>
          </cell>
          <cell r="AG175" t="e">
            <v>#N/A</v>
          </cell>
          <cell r="AH175" t="e">
            <v>#N/A</v>
          </cell>
          <cell r="AI175">
            <v>0</v>
          </cell>
          <cell r="AJ175">
            <v>0</v>
          </cell>
          <cell r="AK175">
            <v>0</v>
          </cell>
          <cell r="AL175">
            <v>349.69202898550719</v>
          </cell>
          <cell r="AM175">
            <v>0</v>
          </cell>
          <cell r="AN175">
            <v>0</v>
          </cell>
          <cell r="AO175">
            <v>0</v>
          </cell>
        </row>
        <row r="176">
          <cell r="K176" t="str">
            <v>SO24-2555</v>
          </cell>
          <cell r="L176" t="str">
            <v>YUMZEE BOMBA STIK MAST MASALA RS 5/-[CW-280MM]</v>
          </cell>
          <cell r="M176" t="str">
            <v>C24-2586</v>
          </cell>
          <cell r="O176" t="str">
            <v>BAL</v>
          </cell>
          <cell r="P176">
            <v>500</v>
          </cell>
          <cell r="Q176">
            <v>1</v>
          </cell>
          <cell r="R176">
            <v>500</v>
          </cell>
          <cell r="S176" t="str">
            <v>KG</v>
          </cell>
          <cell r="T176">
            <v>135.86956521739131</v>
          </cell>
          <cell r="U176">
            <v>10.471642791321104</v>
          </cell>
          <cell r="V176" t="e">
            <v>#N/A</v>
          </cell>
          <cell r="W176" t="str">
            <v>KG</v>
          </cell>
          <cell r="X176">
            <v>0</v>
          </cell>
          <cell r="Y176">
            <v>0</v>
          </cell>
          <cell r="Z176">
            <v>135.86956521739131</v>
          </cell>
          <cell r="AA176" t="str">
            <v>KG</v>
          </cell>
          <cell r="AB176">
            <v>10.471642791321104</v>
          </cell>
          <cell r="AC176">
            <v>135.86956521739131</v>
          </cell>
          <cell r="AD176">
            <v>10.471642791321104</v>
          </cell>
          <cell r="AE176" t="e">
            <v>#N/A</v>
          </cell>
          <cell r="AF176">
            <v>10.471642791321104</v>
          </cell>
          <cell r="AG176" t="e">
            <v>#N/A</v>
          </cell>
          <cell r="AH176" t="e">
            <v>#N/A</v>
          </cell>
          <cell r="AI176">
            <v>0</v>
          </cell>
          <cell r="AJ176">
            <v>0</v>
          </cell>
          <cell r="AK176">
            <v>0</v>
          </cell>
          <cell r="AL176">
            <v>349.69202898550719</v>
          </cell>
          <cell r="AM176">
            <v>0</v>
          </cell>
          <cell r="AN176">
            <v>0</v>
          </cell>
          <cell r="AO176">
            <v>0</v>
          </cell>
        </row>
        <row r="177">
          <cell r="K177" t="str">
            <v>SO24-2565</v>
          </cell>
          <cell r="L177" t="str">
            <v>MANGLAM GOLD TEA RS 10 R1</v>
          </cell>
          <cell r="M177" t="str">
            <v>C24-2587</v>
          </cell>
          <cell r="O177" t="str">
            <v>BAL</v>
          </cell>
          <cell r="P177">
            <v>1000</v>
          </cell>
          <cell r="Q177">
            <v>1</v>
          </cell>
          <cell r="R177">
            <v>1000</v>
          </cell>
          <cell r="S177" t="str">
            <v>KG</v>
          </cell>
          <cell r="T177">
            <v>257.0409511228533</v>
          </cell>
          <cell r="U177">
            <v>20.10645737819566</v>
          </cell>
          <cell r="V177">
            <v>0</v>
          </cell>
          <cell r="W177" t="str">
            <v>KG</v>
          </cell>
          <cell r="X177">
            <v>0</v>
          </cell>
          <cell r="Y177">
            <v>0</v>
          </cell>
          <cell r="Z177">
            <v>257.0409511228533</v>
          </cell>
          <cell r="AA177" t="str">
            <v>KG</v>
          </cell>
          <cell r="AB177">
            <v>20.10645737819566</v>
          </cell>
          <cell r="AC177">
            <v>257.0409511228533</v>
          </cell>
          <cell r="AD177">
            <v>20.10645737819566</v>
          </cell>
          <cell r="AE177">
            <v>0.66</v>
          </cell>
          <cell r="AF177">
            <v>0</v>
          </cell>
          <cell r="AG177">
            <v>0</v>
          </cell>
          <cell r="AH177">
            <v>40.212914756391321</v>
          </cell>
          <cell r="AI177">
            <v>0</v>
          </cell>
          <cell r="AJ177">
            <v>0</v>
          </cell>
          <cell r="AK177" t="str">
            <v>solv.Less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</row>
        <row r="178">
          <cell r="K178" t="str">
            <v>SO24-2568</v>
          </cell>
          <cell r="L178" t="str">
            <v>FRU Juicy JELLY RS-5/- PROMO[PM-FC-BJYL/10] R1</v>
          </cell>
          <cell r="M178" t="str">
            <v>C24-2588</v>
          </cell>
          <cell r="O178" t="str">
            <v>BAL</v>
          </cell>
          <cell r="P178">
            <v>5000</v>
          </cell>
          <cell r="Q178">
            <v>1</v>
          </cell>
          <cell r="R178">
            <v>5000</v>
          </cell>
          <cell r="S178" t="str">
            <v>KG</v>
          </cell>
          <cell r="T178">
            <v>1476.9545920109251</v>
          </cell>
          <cell r="U178">
            <v>90.526294008711204</v>
          </cell>
          <cell r="V178" t="e">
            <v>#N/A</v>
          </cell>
          <cell r="W178" t="str">
            <v>KG</v>
          </cell>
          <cell r="X178">
            <v>0</v>
          </cell>
          <cell r="Y178">
            <v>0</v>
          </cell>
          <cell r="Z178">
            <v>1476.9545920109251</v>
          </cell>
          <cell r="AA178" t="str">
            <v>KG</v>
          </cell>
          <cell r="AB178">
            <v>90.526294008711204</v>
          </cell>
          <cell r="AC178">
            <v>1476.9545920109251</v>
          </cell>
          <cell r="AD178">
            <v>90.526294008711204</v>
          </cell>
          <cell r="AE178" t="e">
            <v>#N/A</v>
          </cell>
          <cell r="AF178">
            <v>90.526294008711204</v>
          </cell>
          <cell r="AG178" t="e">
            <v>#N/A</v>
          </cell>
          <cell r="AH178" t="e">
            <v>#N/A</v>
          </cell>
          <cell r="AI178">
            <v>0</v>
          </cell>
          <cell r="AJ178">
            <v>0</v>
          </cell>
          <cell r="AK178" t="str">
            <v>Extrusion</v>
          </cell>
          <cell r="AL178">
            <v>3345.1587572550352</v>
          </cell>
          <cell r="AM178">
            <v>0</v>
          </cell>
          <cell r="AN178">
            <v>0</v>
          </cell>
          <cell r="AO178">
            <v>0</v>
          </cell>
        </row>
        <row r="179">
          <cell r="K179" t="str">
            <v>SO24-2573</v>
          </cell>
          <cell r="L179" t="str">
            <v>SITAJAKHALA MILK FILM 500ML</v>
          </cell>
          <cell r="M179" t="str">
            <v>C24-2589</v>
          </cell>
          <cell r="O179" t="str">
            <v>BAL</v>
          </cell>
          <cell r="P179">
            <v>500</v>
          </cell>
          <cell r="Q179">
            <v>1</v>
          </cell>
          <cell r="R179">
            <v>500</v>
          </cell>
          <cell r="S179" t="str">
            <v>KG</v>
          </cell>
          <cell r="T179">
            <v>500</v>
          </cell>
          <cell r="U179">
            <v>8.1544451919352543</v>
          </cell>
          <cell r="V179">
            <v>0</v>
          </cell>
          <cell r="W179" t="str">
            <v>KG</v>
          </cell>
          <cell r="X179">
            <v>0</v>
          </cell>
          <cell r="Y179">
            <v>0</v>
          </cell>
          <cell r="Z179">
            <v>500</v>
          </cell>
          <cell r="AA179" t="str">
            <v>KG</v>
          </cell>
          <cell r="AB179">
            <v>8.1544451919352543</v>
          </cell>
          <cell r="AC179">
            <v>500</v>
          </cell>
          <cell r="AD179">
            <v>8.1544451919352543</v>
          </cell>
          <cell r="AE179">
            <v>0.97499999999999998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 t="str">
            <v>Slitting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</row>
        <row r="180">
          <cell r="K180" t="str">
            <v>SO24-2575</v>
          </cell>
          <cell r="L180" t="str">
            <v>CREAM FLIPS MILK 32g(12+8E+18)</v>
          </cell>
          <cell r="M180" t="str">
            <v>C24-2590</v>
          </cell>
          <cell r="O180" t="str">
            <v>BAL</v>
          </cell>
          <cell r="P180">
            <v>2500</v>
          </cell>
          <cell r="Q180">
            <v>1</v>
          </cell>
          <cell r="R180">
            <v>2500</v>
          </cell>
          <cell r="S180" t="str">
            <v>KG</v>
          </cell>
          <cell r="T180">
            <v>834.35754189944146</v>
          </cell>
          <cell r="U180">
            <v>74.151932269769048</v>
          </cell>
          <cell r="V180" t="e">
            <v>#N/A</v>
          </cell>
          <cell r="W180" t="str">
            <v>KG</v>
          </cell>
          <cell r="X180">
            <v>0</v>
          </cell>
          <cell r="Y180">
            <v>0</v>
          </cell>
          <cell r="Z180">
            <v>834.35754189944146</v>
          </cell>
          <cell r="AA180" t="str">
            <v>KG</v>
          </cell>
          <cell r="AB180">
            <v>74.151932269769048</v>
          </cell>
          <cell r="AC180">
            <v>834.35754189944146</v>
          </cell>
          <cell r="AD180">
            <v>74.151932269769048</v>
          </cell>
          <cell r="AE180" t="e">
            <v>#N/A</v>
          </cell>
          <cell r="AF180">
            <v>74.151932269769048</v>
          </cell>
          <cell r="AG180" t="e">
            <v>#N/A</v>
          </cell>
          <cell r="AH180" t="e">
            <v>#N/A</v>
          </cell>
          <cell r="AI180">
            <v>0</v>
          </cell>
          <cell r="AJ180">
            <v>0</v>
          </cell>
          <cell r="AK180" t="str">
            <v>Extrusion</v>
          </cell>
          <cell r="AL180">
            <v>2497.75</v>
          </cell>
          <cell r="AM180">
            <v>0</v>
          </cell>
          <cell r="AN180">
            <v>0</v>
          </cell>
          <cell r="AO180">
            <v>0</v>
          </cell>
        </row>
        <row r="181">
          <cell r="K181" t="str">
            <v>SO24-2560</v>
          </cell>
          <cell r="L181" t="str">
            <v>MAGIC COOK MAIDA 1KG[ROLL]</v>
          </cell>
          <cell r="M181" t="str">
            <v>C24-2591</v>
          </cell>
          <cell r="O181" t="str">
            <v>BAL</v>
          </cell>
          <cell r="P181">
            <v>800</v>
          </cell>
          <cell r="Q181">
            <v>1</v>
          </cell>
          <cell r="R181">
            <v>800</v>
          </cell>
          <cell r="S181" t="str">
            <v>KG</v>
          </cell>
          <cell r="T181">
            <v>205.99999999999997</v>
          </cell>
          <cell r="U181">
            <v>13.535711939023589</v>
          </cell>
          <cell r="V181">
            <v>0</v>
          </cell>
          <cell r="W181" t="str">
            <v>KG</v>
          </cell>
          <cell r="X181">
            <v>0</v>
          </cell>
          <cell r="Y181">
            <v>0</v>
          </cell>
          <cell r="Z181">
            <v>205.99999999999997</v>
          </cell>
          <cell r="AA181" t="str">
            <v>KG</v>
          </cell>
          <cell r="AB181">
            <v>13.535711939023589</v>
          </cell>
          <cell r="AC181">
            <v>205.99999999999997</v>
          </cell>
          <cell r="AD181">
            <v>13.535711939023589</v>
          </cell>
          <cell r="AE181">
            <v>0.84</v>
          </cell>
          <cell r="AF181">
            <v>0</v>
          </cell>
          <cell r="AG181">
            <v>0</v>
          </cell>
          <cell r="AH181">
            <v>13.535711939023589</v>
          </cell>
          <cell r="AI181">
            <v>0</v>
          </cell>
          <cell r="AJ181">
            <v>0</v>
          </cell>
          <cell r="AK181" t="str">
            <v>solv.Less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</row>
        <row r="182">
          <cell r="K182" t="str">
            <v>SO24-2578</v>
          </cell>
          <cell r="L182" t="str">
            <v>Everyday Spice Haldi 500g</v>
          </cell>
          <cell r="M182" t="str">
            <v>C24-2592</v>
          </cell>
          <cell r="O182" t="str">
            <v>BAL</v>
          </cell>
          <cell r="P182">
            <v>2000</v>
          </cell>
          <cell r="Q182">
            <v>1</v>
          </cell>
          <cell r="R182">
            <v>2000</v>
          </cell>
          <cell r="S182" t="str">
            <v>KG</v>
          </cell>
          <cell r="T182">
            <v>440.62499999999994</v>
          </cell>
          <cell r="U182">
            <v>30.241935483870972</v>
          </cell>
          <cell r="V182" t="e">
            <v>#N/A</v>
          </cell>
          <cell r="W182" t="str">
            <v>KG</v>
          </cell>
          <cell r="X182">
            <v>0</v>
          </cell>
          <cell r="Y182">
            <v>0</v>
          </cell>
          <cell r="Z182">
            <v>440.62499999999994</v>
          </cell>
          <cell r="AA182" t="str">
            <v>KG</v>
          </cell>
          <cell r="AB182">
            <v>30.241935483870972</v>
          </cell>
          <cell r="AC182">
            <v>440.62499999999994</v>
          </cell>
          <cell r="AD182">
            <v>30.241935483870972</v>
          </cell>
          <cell r="AE182" t="e">
            <v>#N/A</v>
          </cell>
          <cell r="AF182">
            <v>0</v>
          </cell>
          <cell r="AG182" t="e">
            <v>#N/A</v>
          </cell>
          <cell r="AH182" t="e">
            <v>#N/A</v>
          </cell>
          <cell r="AI182">
            <v>0</v>
          </cell>
          <cell r="AJ182">
            <v>0</v>
          </cell>
          <cell r="AK182" t="str">
            <v>solv.Less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</row>
        <row r="183">
          <cell r="K183" t="str">
            <v>SO24-2579</v>
          </cell>
          <cell r="L183" t="str">
            <v>EVERYDAY HALDI-200GM</v>
          </cell>
          <cell r="M183" t="str">
            <v>C24-2593</v>
          </cell>
          <cell r="O183" t="str">
            <v>BAL</v>
          </cell>
          <cell r="P183">
            <v>1000</v>
          </cell>
          <cell r="Q183">
            <v>1</v>
          </cell>
          <cell r="R183">
            <v>1000</v>
          </cell>
          <cell r="S183" t="str">
            <v>KG</v>
          </cell>
          <cell r="T183">
            <v>243.79052369077306</v>
          </cell>
          <cell r="U183">
            <v>15.71828005743218</v>
          </cell>
          <cell r="V183">
            <v>0</v>
          </cell>
          <cell r="W183" t="str">
            <v>KG</v>
          </cell>
          <cell r="X183">
            <v>0</v>
          </cell>
          <cell r="Y183">
            <v>0</v>
          </cell>
          <cell r="Z183">
            <v>243.79052369077306</v>
          </cell>
          <cell r="AA183" t="str">
            <v>KG</v>
          </cell>
          <cell r="AB183">
            <v>15.71828005743218</v>
          </cell>
          <cell r="AC183">
            <v>243.79052369077306</v>
          </cell>
          <cell r="AD183">
            <v>15.71828005743218</v>
          </cell>
          <cell r="AE183">
            <v>0.81</v>
          </cell>
          <cell r="AF183">
            <v>0</v>
          </cell>
          <cell r="AG183">
            <v>0</v>
          </cell>
          <cell r="AH183">
            <v>31.43656011486436</v>
          </cell>
          <cell r="AI183">
            <v>0</v>
          </cell>
          <cell r="AJ183">
            <v>0</v>
          </cell>
          <cell r="AK183" t="str">
            <v>solv.Less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</row>
        <row r="184">
          <cell r="K184" t="str">
            <v>SO24-2580</v>
          </cell>
          <cell r="L184" t="str">
            <v>EVERYDAY HALDI-100GM</v>
          </cell>
          <cell r="M184" t="str">
            <v>C24-2594</v>
          </cell>
          <cell r="O184" t="str">
            <v>BAL</v>
          </cell>
          <cell r="P184">
            <v>2000</v>
          </cell>
          <cell r="Q184">
            <v>1</v>
          </cell>
          <cell r="R184">
            <v>2000</v>
          </cell>
          <cell r="S184" t="str">
            <v>KG</v>
          </cell>
          <cell r="T184">
            <v>515.17880794701978</v>
          </cell>
          <cell r="U184">
            <v>30.108927731335726</v>
          </cell>
          <cell r="V184">
            <v>0</v>
          </cell>
          <cell r="W184" t="str">
            <v>KG</v>
          </cell>
          <cell r="X184">
            <v>0</v>
          </cell>
          <cell r="Y184">
            <v>0</v>
          </cell>
          <cell r="Z184">
            <v>515.17880794701978</v>
          </cell>
          <cell r="AA184" t="str">
            <v>KG</v>
          </cell>
          <cell r="AB184">
            <v>30.108927731335726</v>
          </cell>
          <cell r="AC184">
            <v>515.17880794701978</v>
          </cell>
          <cell r="AD184">
            <v>30.108927731335726</v>
          </cell>
          <cell r="AE184">
            <v>0.9</v>
          </cell>
          <cell r="AF184">
            <v>0</v>
          </cell>
          <cell r="AG184">
            <v>0</v>
          </cell>
          <cell r="AH184">
            <v>60.217855462671452</v>
          </cell>
          <cell r="AI184">
            <v>0</v>
          </cell>
          <cell r="AJ184">
            <v>0</v>
          </cell>
          <cell r="AK184" t="str">
            <v>solv.Less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</row>
        <row r="185">
          <cell r="K185" t="str">
            <v>SO24-2581</v>
          </cell>
          <cell r="L185" t="str">
            <v>EVERYDAY HALDI-50GM</v>
          </cell>
          <cell r="M185" t="str">
            <v>C24-2595</v>
          </cell>
          <cell r="O185" t="str">
            <v>BAL</v>
          </cell>
          <cell r="P185">
            <v>2000</v>
          </cell>
          <cell r="Q185">
            <v>1</v>
          </cell>
          <cell r="R185">
            <v>2000</v>
          </cell>
          <cell r="S185" t="str">
            <v>KG</v>
          </cell>
          <cell r="T185">
            <v>515.17880794701978</v>
          </cell>
          <cell r="U185">
            <v>33.803274692235817</v>
          </cell>
          <cell r="V185">
            <v>0</v>
          </cell>
          <cell r="W185" t="str">
            <v>KG</v>
          </cell>
          <cell r="X185">
            <v>0</v>
          </cell>
          <cell r="Y185">
            <v>0</v>
          </cell>
          <cell r="Z185">
            <v>515.17880794701978</v>
          </cell>
          <cell r="AA185" t="str">
            <v>KG</v>
          </cell>
          <cell r="AB185">
            <v>33.803274692235817</v>
          </cell>
          <cell r="AC185">
            <v>515.17880794701978</v>
          </cell>
          <cell r="AD185">
            <v>33.803274692235817</v>
          </cell>
          <cell r="AE185">
            <v>0.8</v>
          </cell>
          <cell r="AF185">
            <v>0</v>
          </cell>
          <cell r="AG185">
            <v>0</v>
          </cell>
          <cell r="AH185">
            <v>67.606549384471634</v>
          </cell>
          <cell r="AI185">
            <v>0</v>
          </cell>
          <cell r="AJ185">
            <v>0</v>
          </cell>
          <cell r="AK185" t="str">
            <v>solv.Less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</row>
        <row r="186">
          <cell r="K186" t="str">
            <v>SO24-2582</v>
          </cell>
          <cell r="L186" t="str">
            <v>Everyday Mirch Powder 500g</v>
          </cell>
          <cell r="M186" t="str">
            <v>C24-2596</v>
          </cell>
          <cell r="O186" t="str">
            <v>BAL</v>
          </cell>
          <cell r="P186">
            <v>1000</v>
          </cell>
          <cell r="Q186">
            <v>1</v>
          </cell>
          <cell r="R186">
            <v>1000</v>
          </cell>
          <cell r="S186" t="str">
            <v>KG</v>
          </cell>
          <cell r="T186">
            <v>220.31249999999997</v>
          </cell>
          <cell r="U186">
            <v>15.120967741935486</v>
          </cell>
          <cell r="V186" t="e">
            <v>#N/A</v>
          </cell>
          <cell r="W186" t="str">
            <v>KG</v>
          </cell>
          <cell r="X186">
            <v>0</v>
          </cell>
          <cell r="Y186">
            <v>0</v>
          </cell>
          <cell r="Z186">
            <v>220.31249999999997</v>
          </cell>
          <cell r="AA186" t="str">
            <v>KG</v>
          </cell>
          <cell r="AB186">
            <v>15.120967741935486</v>
          </cell>
          <cell r="AC186">
            <v>220.31249999999997</v>
          </cell>
          <cell r="AD186">
            <v>15.120967741935486</v>
          </cell>
          <cell r="AE186" t="e">
            <v>#N/A</v>
          </cell>
          <cell r="AF186">
            <v>0</v>
          </cell>
          <cell r="AG186" t="e">
            <v>#N/A</v>
          </cell>
          <cell r="AH186" t="e">
            <v>#N/A</v>
          </cell>
          <cell r="AI186">
            <v>0</v>
          </cell>
          <cell r="AJ186">
            <v>0</v>
          </cell>
          <cell r="AK186" t="str">
            <v>solv.Less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</row>
        <row r="187">
          <cell r="K187" t="str">
            <v>SO24-2583</v>
          </cell>
          <cell r="L187" t="str">
            <v>EVERYDAY SPICE MIRCHI 50GM</v>
          </cell>
          <cell r="M187" t="str">
            <v>C24-2597</v>
          </cell>
          <cell r="O187" t="str">
            <v>BAL</v>
          </cell>
          <cell r="P187">
            <v>1000</v>
          </cell>
          <cell r="Q187">
            <v>1</v>
          </cell>
          <cell r="R187">
            <v>1000</v>
          </cell>
          <cell r="S187" t="str">
            <v>KG</v>
          </cell>
          <cell r="T187">
            <v>257.58940397350989</v>
          </cell>
          <cell r="U187">
            <v>16.901637346117909</v>
          </cell>
          <cell r="V187">
            <v>0</v>
          </cell>
          <cell r="W187" t="str">
            <v>KG</v>
          </cell>
          <cell r="X187">
            <v>0</v>
          </cell>
          <cell r="Y187">
            <v>0</v>
          </cell>
          <cell r="Z187">
            <v>257.58940397350989</v>
          </cell>
          <cell r="AA187" t="str">
            <v>KG</v>
          </cell>
          <cell r="AB187">
            <v>16.901637346117909</v>
          </cell>
          <cell r="AC187">
            <v>257.58940397350989</v>
          </cell>
          <cell r="AD187">
            <v>16.901637346117909</v>
          </cell>
          <cell r="AE187">
            <v>0.8</v>
          </cell>
          <cell r="AF187">
            <v>0</v>
          </cell>
          <cell r="AG187">
            <v>0</v>
          </cell>
          <cell r="AH187">
            <v>33.803274692235817</v>
          </cell>
          <cell r="AI187">
            <v>0</v>
          </cell>
          <cell r="AJ187">
            <v>0</v>
          </cell>
          <cell r="AK187" t="str">
            <v>solv.Less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</row>
        <row r="188">
          <cell r="K188" t="str">
            <v>SO24-2584</v>
          </cell>
          <cell r="L188" t="str">
            <v>Everyday Spice Jeera 500g</v>
          </cell>
          <cell r="M188" t="str">
            <v>C24-2598</v>
          </cell>
          <cell r="O188" t="str">
            <v>BAL</v>
          </cell>
          <cell r="P188">
            <v>1000</v>
          </cell>
          <cell r="Q188">
            <v>1</v>
          </cell>
          <cell r="R188">
            <v>1000</v>
          </cell>
          <cell r="S188" t="str">
            <v>KG</v>
          </cell>
          <cell r="T188">
            <v>220.31249999999997</v>
          </cell>
          <cell r="U188">
            <v>15.120967741935486</v>
          </cell>
          <cell r="V188" t="e">
            <v>#N/A</v>
          </cell>
          <cell r="W188" t="str">
            <v>KG</v>
          </cell>
          <cell r="X188">
            <v>0</v>
          </cell>
          <cell r="Y188">
            <v>0</v>
          </cell>
          <cell r="Z188">
            <v>220.31249999999997</v>
          </cell>
          <cell r="AA188" t="str">
            <v>KG</v>
          </cell>
          <cell r="AB188">
            <v>15.120967741935486</v>
          </cell>
          <cell r="AC188">
            <v>220.31249999999997</v>
          </cell>
          <cell r="AD188">
            <v>15.120967741935486</v>
          </cell>
          <cell r="AE188" t="e">
            <v>#N/A</v>
          </cell>
          <cell r="AF188">
            <v>0</v>
          </cell>
          <cell r="AG188" t="e">
            <v>#N/A</v>
          </cell>
          <cell r="AH188" t="e">
            <v>#N/A</v>
          </cell>
          <cell r="AI188">
            <v>0</v>
          </cell>
          <cell r="AJ188">
            <v>0</v>
          </cell>
          <cell r="AK188" t="str">
            <v>solv.Less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</row>
        <row r="189">
          <cell r="K189" t="str">
            <v>SO24-2585</v>
          </cell>
          <cell r="L189" t="str">
            <v>Everyday Spice Jeera 100g</v>
          </cell>
          <cell r="M189" t="str">
            <v>C24-2599</v>
          </cell>
          <cell r="O189" t="str">
            <v>BAL</v>
          </cell>
          <cell r="P189">
            <v>1000</v>
          </cell>
          <cell r="Q189">
            <v>1</v>
          </cell>
          <cell r="R189">
            <v>1000</v>
          </cell>
          <cell r="S189" t="str">
            <v>KG</v>
          </cell>
          <cell r="T189">
            <v>260.42216358839039</v>
          </cell>
          <cell r="U189">
            <v>15.139063108265923</v>
          </cell>
          <cell r="V189" t="e">
            <v>#N/A</v>
          </cell>
          <cell r="W189" t="str">
            <v>KG</v>
          </cell>
          <cell r="X189">
            <v>0</v>
          </cell>
          <cell r="Y189">
            <v>0</v>
          </cell>
          <cell r="Z189">
            <v>260.42216358839039</v>
          </cell>
          <cell r="AA189" t="str">
            <v>KG</v>
          </cell>
          <cell r="AB189">
            <v>15.139063108265923</v>
          </cell>
          <cell r="AC189">
            <v>260.42216358839039</v>
          </cell>
          <cell r="AD189">
            <v>15.139063108265923</v>
          </cell>
          <cell r="AE189" t="e">
            <v>#N/A</v>
          </cell>
          <cell r="AF189">
            <v>0</v>
          </cell>
          <cell r="AG189" t="e">
            <v>#N/A</v>
          </cell>
          <cell r="AH189" t="e">
            <v>#N/A</v>
          </cell>
          <cell r="AI189">
            <v>0</v>
          </cell>
          <cell r="AJ189">
            <v>0</v>
          </cell>
          <cell r="AK189" t="str">
            <v>solv.Less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</row>
        <row r="190">
          <cell r="K190" t="str">
            <v>SO24-2586</v>
          </cell>
          <cell r="L190" t="str">
            <v>Everyday Jeera 50g</v>
          </cell>
          <cell r="M190" t="str">
            <v>C24-2600</v>
          </cell>
          <cell r="O190" t="str">
            <v>BAL</v>
          </cell>
          <cell r="P190">
            <v>1000</v>
          </cell>
          <cell r="Q190">
            <v>1</v>
          </cell>
          <cell r="R190">
            <v>1000</v>
          </cell>
          <cell r="S190" t="str">
            <v>KG</v>
          </cell>
          <cell r="T190">
            <v>260.42216358839039</v>
          </cell>
          <cell r="U190">
            <v>16.996616863881375</v>
          </cell>
          <cell r="V190" t="e">
            <v>#N/A</v>
          </cell>
          <cell r="W190" t="str">
            <v>KG</v>
          </cell>
          <cell r="X190">
            <v>0</v>
          </cell>
          <cell r="Y190">
            <v>0</v>
          </cell>
          <cell r="Z190">
            <v>260.42216358839039</v>
          </cell>
          <cell r="AA190" t="str">
            <v>KG</v>
          </cell>
          <cell r="AB190">
            <v>16.996616863881375</v>
          </cell>
          <cell r="AC190">
            <v>260.42216358839039</v>
          </cell>
          <cell r="AD190">
            <v>16.996616863881375</v>
          </cell>
          <cell r="AE190" t="e">
            <v>#N/A</v>
          </cell>
          <cell r="AF190">
            <v>0</v>
          </cell>
          <cell r="AG190" t="e">
            <v>#N/A</v>
          </cell>
          <cell r="AH190" t="e">
            <v>#N/A</v>
          </cell>
          <cell r="AI190">
            <v>0</v>
          </cell>
          <cell r="AJ190">
            <v>0</v>
          </cell>
          <cell r="AK190" t="str">
            <v>solv.Less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</row>
        <row r="191">
          <cell r="K191" t="str">
            <v>SO24-2587</v>
          </cell>
          <cell r="L191" t="str">
            <v>Everyday Multitrack Spice Rs.5/- (Jeera)</v>
          </cell>
          <cell r="M191" t="str">
            <v>C24-2601</v>
          </cell>
          <cell r="O191" t="str">
            <v>BAL</v>
          </cell>
          <cell r="P191">
            <v>5000</v>
          </cell>
          <cell r="Q191">
            <v>1</v>
          </cell>
          <cell r="R191">
            <v>5000</v>
          </cell>
          <cell r="S191" t="str">
            <v>KG</v>
          </cell>
          <cell r="T191">
            <v>1302.1108179419521</v>
          </cell>
          <cell r="U191">
            <v>71.03714227724781</v>
          </cell>
          <cell r="V191" t="e">
            <v>#N/A</v>
          </cell>
          <cell r="W191" t="str">
            <v>KG</v>
          </cell>
          <cell r="X191">
            <v>0</v>
          </cell>
          <cell r="Y191">
            <v>0</v>
          </cell>
          <cell r="Z191">
            <v>1302.1108179419521</v>
          </cell>
          <cell r="AA191" t="str">
            <v>KG</v>
          </cell>
          <cell r="AB191">
            <v>71.03714227724781</v>
          </cell>
          <cell r="AC191">
            <v>1302.1108179419521</v>
          </cell>
          <cell r="AD191">
            <v>71.03714227724781</v>
          </cell>
          <cell r="AE191" t="e">
            <v>#N/A</v>
          </cell>
          <cell r="AF191">
            <v>0</v>
          </cell>
          <cell r="AG191" t="e">
            <v>#N/A</v>
          </cell>
          <cell r="AH191" t="e">
            <v>#N/A</v>
          </cell>
          <cell r="AI191">
            <v>0</v>
          </cell>
          <cell r="AJ191">
            <v>0</v>
          </cell>
          <cell r="AK191" t="str">
            <v>solv.Less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</row>
        <row r="192">
          <cell r="K192" t="str">
            <v>SO24-2589</v>
          </cell>
          <cell r="L192" t="str">
            <v>Everyday Multitrack Spice Rs.5/- (Meat Masala)</v>
          </cell>
          <cell r="M192" t="str">
            <v>C24-2602</v>
          </cell>
          <cell r="O192" t="str">
            <v>BAL</v>
          </cell>
          <cell r="P192">
            <v>5000</v>
          </cell>
          <cell r="Q192">
            <v>1</v>
          </cell>
          <cell r="R192">
            <v>5000</v>
          </cell>
          <cell r="S192" t="str">
            <v>KG</v>
          </cell>
          <cell r="T192">
            <v>1302.1108179419521</v>
          </cell>
          <cell r="U192">
            <v>71.03714227724781</v>
          </cell>
          <cell r="V192" t="e">
            <v>#N/A</v>
          </cell>
          <cell r="W192" t="str">
            <v>KG</v>
          </cell>
          <cell r="X192">
            <v>0</v>
          </cell>
          <cell r="Y192">
            <v>0</v>
          </cell>
          <cell r="Z192">
            <v>1302.1108179419521</v>
          </cell>
          <cell r="AA192" t="str">
            <v>KG</v>
          </cell>
          <cell r="AB192">
            <v>71.03714227724781</v>
          </cell>
          <cell r="AC192">
            <v>1302.1108179419521</v>
          </cell>
          <cell r="AD192">
            <v>71.03714227724781</v>
          </cell>
          <cell r="AE192" t="e">
            <v>#N/A</v>
          </cell>
          <cell r="AF192">
            <v>0</v>
          </cell>
          <cell r="AG192" t="e">
            <v>#N/A</v>
          </cell>
          <cell r="AH192" t="e">
            <v>#N/A</v>
          </cell>
          <cell r="AI192">
            <v>0</v>
          </cell>
          <cell r="AJ192">
            <v>0</v>
          </cell>
          <cell r="AK192" t="str">
            <v>solv.Less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</row>
        <row r="193">
          <cell r="K193" t="str">
            <v>SO24-2590</v>
          </cell>
          <cell r="L193" t="str">
            <v>Everyday Multitrack Spice Rs.5/- (Garam Masala)</v>
          </cell>
          <cell r="M193" t="str">
            <v>C24-2603</v>
          </cell>
          <cell r="O193" t="str">
            <v>BAL</v>
          </cell>
          <cell r="P193">
            <v>5000</v>
          </cell>
          <cell r="Q193">
            <v>1</v>
          </cell>
          <cell r="R193">
            <v>5000</v>
          </cell>
          <cell r="S193" t="str">
            <v>KG</v>
          </cell>
          <cell r="T193">
            <v>1302.1108179419521</v>
          </cell>
          <cell r="U193">
            <v>71.03714227724781</v>
          </cell>
          <cell r="V193" t="e">
            <v>#N/A</v>
          </cell>
          <cell r="W193" t="str">
            <v>KG</v>
          </cell>
          <cell r="X193">
            <v>0</v>
          </cell>
          <cell r="Y193">
            <v>0</v>
          </cell>
          <cell r="Z193">
            <v>1302.1108179419521</v>
          </cell>
          <cell r="AA193" t="str">
            <v>KG</v>
          </cell>
          <cell r="AB193">
            <v>71.03714227724781</v>
          </cell>
          <cell r="AC193">
            <v>1302.1108179419521</v>
          </cell>
          <cell r="AD193">
            <v>71.03714227724781</v>
          </cell>
          <cell r="AE193" t="e">
            <v>#N/A</v>
          </cell>
          <cell r="AF193">
            <v>0</v>
          </cell>
          <cell r="AG193" t="e">
            <v>#N/A</v>
          </cell>
          <cell r="AH193" t="e">
            <v>#N/A</v>
          </cell>
          <cell r="AI193">
            <v>0</v>
          </cell>
          <cell r="AJ193">
            <v>0</v>
          </cell>
          <cell r="AK193" t="str">
            <v>solv.Less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</row>
        <row r="194">
          <cell r="K194" t="str">
            <v>SO24-2591</v>
          </cell>
          <cell r="L194" t="str">
            <v>Everyday Multitrack Spice Rs.5/- (Chichen Masala)</v>
          </cell>
          <cell r="M194" t="str">
            <v>C24-2604</v>
          </cell>
          <cell r="O194" t="str">
            <v>BAL</v>
          </cell>
          <cell r="P194">
            <v>4000</v>
          </cell>
          <cell r="Q194">
            <v>1</v>
          </cell>
          <cell r="R194">
            <v>4000</v>
          </cell>
          <cell r="S194" t="str">
            <v>KG</v>
          </cell>
          <cell r="T194">
            <v>1041.6886543535616</v>
          </cell>
          <cell r="U194">
            <v>56.829713821798236</v>
          </cell>
          <cell r="V194" t="e">
            <v>#N/A</v>
          </cell>
          <cell r="W194" t="str">
            <v>KG</v>
          </cell>
          <cell r="X194">
            <v>0</v>
          </cell>
          <cell r="Y194">
            <v>0</v>
          </cell>
          <cell r="Z194">
            <v>1041.6886543535616</v>
          </cell>
          <cell r="AA194" t="str">
            <v>KG</v>
          </cell>
          <cell r="AB194">
            <v>56.829713821798236</v>
          </cell>
          <cell r="AC194">
            <v>1041.6886543535616</v>
          </cell>
          <cell r="AD194">
            <v>56.829713821798236</v>
          </cell>
          <cell r="AE194" t="e">
            <v>#N/A</v>
          </cell>
          <cell r="AF194">
            <v>0</v>
          </cell>
          <cell r="AG194" t="e">
            <v>#N/A</v>
          </cell>
          <cell r="AH194" t="e">
            <v>#N/A</v>
          </cell>
          <cell r="AI194">
            <v>0</v>
          </cell>
          <cell r="AJ194">
            <v>0</v>
          </cell>
          <cell r="AK194" t="str">
            <v>solv.Less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</row>
        <row r="195">
          <cell r="K195" t="str">
            <v>SO24-2593</v>
          </cell>
          <cell r="L195" t="str">
            <v>Everyday Multitrack Spice Rs.10/- (Jeera)</v>
          </cell>
          <cell r="M195" t="str">
            <v>C24-2605</v>
          </cell>
          <cell r="O195" t="str">
            <v>BAL</v>
          </cell>
          <cell r="P195">
            <v>1000</v>
          </cell>
          <cell r="Q195">
            <v>1</v>
          </cell>
          <cell r="R195">
            <v>1000</v>
          </cell>
          <cell r="S195" t="str">
            <v>KG</v>
          </cell>
          <cell r="T195">
            <v>260.42216358839039</v>
          </cell>
          <cell r="U195">
            <v>15.139063108265923</v>
          </cell>
          <cell r="V195" t="e">
            <v>#N/A</v>
          </cell>
          <cell r="W195" t="str">
            <v>KG</v>
          </cell>
          <cell r="X195">
            <v>0</v>
          </cell>
          <cell r="Y195">
            <v>0</v>
          </cell>
          <cell r="Z195">
            <v>260.42216358839039</v>
          </cell>
          <cell r="AA195" t="str">
            <v>KG</v>
          </cell>
          <cell r="AB195">
            <v>15.139063108265923</v>
          </cell>
          <cell r="AC195">
            <v>260.42216358839039</v>
          </cell>
          <cell r="AD195">
            <v>15.139063108265923</v>
          </cell>
          <cell r="AE195" t="e">
            <v>#N/A</v>
          </cell>
          <cell r="AF195">
            <v>0</v>
          </cell>
          <cell r="AG195" t="e">
            <v>#N/A</v>
          </cell>
          <cell r="AH195" t="e">
            <v>#N/A</v>
          </cell>
          <cell r="AI195">
            <v>0</v>
          </cell>
          <cell r="AJ195">
            <v>0</v>
          </cell>
          <cell r="AK195" t="str">
            <v>solv.Less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</row>
        <row r="196">
          <cell r="K196" t="str">
            <v>SO24-2594</v>
          </cell>
          <cell r="L196" t="str">
            <v>EVERYDAY Printed flow wrap(480mm)</v>
          </cell>
          <cell r="M196" t="str">
            <v>C24-2606</v>
          </cell>
          <cell r="O196" t="str">
            <v>BAL</v>
          </cell>
          <cell r="P196">
            <v>2000</v>
          </cell>
          <cell r="Q196">
            <v>1</v>
          </cell>
          <cell r="R196">
            <v>2000</v>
          </cell>
          <cell r="S196" t="str">
            <v>KG</v>
          </cell>
          <cell r="T196">
            <v>864.99999999999977</v>
          </cell>
          <cell r="U196">
            <v>51.282051282051277</v>
          </cell>
          <cell r="V196" t="e">
            <v>#N/A</v>
          </cell>
          <cell r="W196" t="str">
            <v>KG</v>
          </cell>
          <cell r="X196">
            <v>0</v>
          </cell>
          <cell r="Y196">
            <v>0</v>
          </cell>
          <cell r="Z196">
            <v>864.99999999999977</v>
          </cell>
          <cell r="AA196" t="str">
            <v>KG</v>
          </cell>
          <cell r="AB196">
            <v>51.282051282051277</v>
          </cell>
          <cell r="AC196">
            <v>864.99999999999977</v>
          </cell>
          <cell r="AD196">
            <v>51.282051282051277</v>
          </cell>
          <cell r="AE196" t="e">
            <v>#N/A</v>
          </cell>
          <cell r="AF196">
            <v>0</v>
          </cell>
          <cell r="AG196" t="e">
            <v>#N/A</v>
          </cell>
          <cell r="AH196" t="e">
            <v>#N/A</v>
          </cell>
          <cell r="AI196">
            <v>0</v>
          </cell>
          <cell r="AJ196">
            <v>0</v>
          </cell>
          <cell r="AK196" t="str">
            <v>solv.Less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</row>
        <row r="197">
          <cell r="K197" t="str">
            <v>SO24-2595</v>
          </cell>
          <cell r="L197" t="str">
            <v>EVERYDAY HALDI-100GM</v>
          </cell>
          <cell r="M197" t="str">
            <v>C24-2607</v>
          </cell>
          <cell r="O197" t="str">
            <v>BAL</v>
          </cell>
          <cell r="P197">
            <v>1500</v>
          </cell>
          <cell r="Q197">
            <v>1</v>
          </cell>
          <cell r="R197">
            <v>1500</v>
          </cell>
          <cell r="S197" t="str">
            <v>KG</v>
          </cell>
          <cell r="T197">
            <v>386.38410596026478</v>
          </cell>
          <cell r="U197">
            <v>22.581695798501787</v>
          </cell>
          <cell r="V197">
            <v>0</v>
          </cell>
          <cell r="W197" t="str">
            <v>KG</v>
          </cell>
          <cell r="X197">
            <v>0</v>
          </cell>
          <cell r="Y197">
            <v>0</v>
          </cell>
          <cell r="Z197">
            <v>386.38410596026478</v>
          </cell>
          <cell r="AA197" t="str">
            <v>KG</v>
          </cell>
          <cell r="AB197">
            <v>22.581695798501787</v>
          </cell>
          <cell r="AC197">
            <v>386.38410596026478</v>
          </cell>
          <cell r="AD197">
            <v>22.581695798501787</v>
          </cell>
          <cell r="AE197">
            <v>0.9</v>
          </cell>
          <cell r="AF197">
            <v>0</v>
          </cell>
          <cell r="AG197">
            <v>0</v>
          </cell>
          <cell r="AH197">
            <v>45.163391597003574</v>
          </cell>
          <cell r="AI197">
            <v>0</v>
          </cell>
          <cell r="AJ197">
            <v>0</v>
          </cell>
          <cell r="AK197" t="str">
            <v>solv.Less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</row>
        <row r="198">
          <cell r="K198" t="str">
            <v>SO24-2596</v>
          </cell>
          <cell r="L198" t="str">
            <v>Everyday Spice Rs.5/- (Kashmiri Mircha)</v>
          </cell>
          <cell r="M198" t="str">
            <v>C24-2608</v>
          </cell>
          <cell r="O198" t="str">
            <v>BAL</v>
          </cell>
          <cell r="P198">
            <v>1000</v>
          </cell>
          <cell r="Q198">
            <v>1</v>
          </cell>
          <cell r="R198">
            <v>1000</v>
          </cell>
          <cell r="S198" t="str">
            <v>KG</v>
          </cell>
          <cell r="T198">
            <v>260.42216358839039</v>
          </cell>
          <cell r="U198">
            <v>17.873861605242993</v>
          </cell>
          <cell r="V198" t="e">
            <v>#N/A</v>
          </cell>
          <cell r="W198" t="str">
            <v>KG</v>
          </cell>
          <cell r="X198">
            <v>0</v>
          </cell>
          <cell r="Y198">
            <v>0</v>
          </cell>
          <cell r="Z198">
            <v>260.42216358839039</v>
          </cell>
          <cell r="AA198" t="str">
            <v>KG</v>
          </cell>
          <cell r="AB198">
            <v>17.873861605242993</v>
          </cell>
          <cell r="AC198">
            <v>260.42216358839039</v>
          </cell>
          <cell r="AD198">
            <v>17.873861605242993</v>
          </cell>
          <cell r="AE198" t="e">
            <v>#N/A</v>
          </cell>
          <cell r="AF198">
            <v>0</v>
          </cell>
          <cell r="AG198" t="e">
            <v>#N/A</v>
          </cell>
          <cell r="AH198" t="e">
            <v>#N/A</v>
          </cell>
          <cell r="AI198">
            <v>0</v>
          </cell>
          <cell r="AJ198">
            <v>0</v>
          </cell>
          <cell r="AK198" t="str">
            <v>solv.Less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</row>
        <row r="199">
          <cell r="K199" t="str">
            <v>SO24-2598</v>
          </cell>
          <cell r="L199" t="str">
            <v>EVERYDAY  SABJI MASALA RS 2/-</v>
          </cell>
          <cell r="M199" t="str">
            <v>C24-2609</v>
          </cell>
          <cell r="O199" t="str">
            <v>BAL</v>
          </cell>
          <cell r="P199">
            <v>1000</v>
          </cell>
          <cell r="Q199">
            <v>1</v>
          </cell>
          <cell r="R199">
            <v>1000</v>
          </cell>
          <cell r="S199" t="str">
            <v>KG</v>
          </cell>
          <cell r="T199">
            <v>260.42216358839039</v>
          </cell>
          <cell r="U199">
            <v>13.715091825805269</v>
          </cell>
          <cell r="V199" t="e">
            <v>#N/A</v>
          </cell>
          <cell r="W199" t="str">
            <v>KG</v>
          </cell>
          <cell r="X199">
            <v>267</v>
          </cell>
          <cell r="Y199">
            <v>14.061512534232147</v>
          </cell>
          <cell r="Z199">
            <v>0</v>
          </cell>
          <cell r="AA199" t="str">
            <v>KG</v>
          </cell>
          <cell r="AB199">
            <v>0</v>
          </cell>
          <cell r="AC199">
            <v>260.42216358839039</v>
          </cell>
          <cell r="AD199">
            <v>13.715091825805269</v>
          </cell>
          <cell r="AE199" t="e">
            <v>#N/A</v>
          </cell>
          <cell r="AF199">
            <v>0</v>
          </cell>
          <cell r="AG199" t="e">
            <v>#N/A</v>
          </cell>
          <cell r="AH199" t="e">
            <v>#N/A</v>
          </cell>
          <cell r="AI199">
            <v>0</v>
          </cell>
          <cell r="AJ199">
            <v>267</v>
          </cell>
          <cell r="AK199" t="str">
            <v>solv.Less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</row>
        <row r="200">
          <cell r="K200" t="str">
            <v>SO24-2368</v>
          </cell>
          <cell r="L200" t="str">
            <v>NycTea 250g Pouch (Matt)</v>
          </cell>
          <cell r="M200" t="str">
            <v>C24-2610</v>
          </cell>
          <cell r="O200" t="str">
            <v>BAL</v>
          </cell>
          <cell r="P200">
            <v>300</v>
          </cell>
          <cell r="Q200">
            <v>1</v>
          </cell>
          <cell r="R200">
            <v>300</v>
          </cell>
          <cell r="S200" t="str">
            <v>KG</v>
          </cell>
          <cell r="T200">
            <v>71.707317073170714</v>
          </cell>
          <cell r="U200">
            <v>6.5666041275797369</v>
          </cell>
          <cell r="V200" t="e">
            <v>#N/A</v>
          </cell>
          <cell r="W200" t="str">
            <v>KG</v>
          </cell>
          <cell r="X200">
            <v>86</v>
          </cell>
          <cell r="Y200">
            <v>7.8754578754578759</v>
          </cell>
          <cell r="Z200">
            <v>0</v>
          </cell>
          <cell r="AA200" t="str">
            <v>KG</v>
          </cell>
          <cell r="AB200">
            <v>0</v>
          </cell>
          <cell r="AC200">
            <v>71.707317073170714</v>
          </cell>
          <cell r="AD200">
            <v>6.5666041275797369</v>
          </cell>
          <cell r="AE200" t="e">
            <v>#N/A</v>
          </cell>
          <cell r="AF200">
            <v>0</v>
          </cell>
          <cell r="AG200" t="e">
            <v>#N/A</v>
          </cell>
          <cell r="AH200" t="e">
            <v>#N/A</v>
          </cell>
          <cell r="AI200">
            <v>0</v>
          </cell>
          <cell r="AJ200">
            <v>86</v>
          </cell>
          <cell r="AK200" t="str">
            <v>solv.Less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</row>
        <row r="201">
          <cell r="K201" t="str">
            <v>SO24-2369</v>
          </cell>
          <cell r="L201" t="str">
            <v>NycTea 250g Pouch (Gloss)</v>
          </cell>
          <cell r="M201" t="str">
            <v>C24-2611</v>
          </cell>
          <cell r="O201" t="str">
            <v>BAL</v>
          </cell>
          <cell r="P201">
            <v>300</v>
          </cell>
          <cell r="Q201">
            <v>1</v>
          </cell>
          <cell r="R201">
            <v>300</v>
          </cell>
          <cell r="S201" t="str">
            <v>KG</v>
          </cell>
          <cell r="T201">
            <v>76.553784860557741</v>
          </cell>
          <cell r="U201">
            <v>6.3866670721693364</v>
          </cell>
          <cell r="V201" t="e">
            <v>#N/A</v>
          </cell>
          <cell r="W201" t="str">
            <v>KG</v>
          </cell>
          <cell r="X201">
            <v>85</v>
          </cell>
          <cell r="Y201">
            <v>7.0913110582738916</v>
          </cell>
          <cell r="Z201">
            <v>0</v>
          </cell>
          <cell r="AA201" t="str">
            <v>KG</v>
          </cell>
          <cell r="AB201">
            <v>0</v>
          </cell>
          <cell r="AC201">
            <v>76.553784860557741</v>
          </cell>
          <cell r="AD201">
            <v>6.3866670721693364</v>
          </cell>
          <cell r="AE201" t="e">
            <v>#N/A</v>
          </cell>
          <cell r="AF201">
            <v>0</v>
          </cell>
          <cell r="AG201" t="e">
            <v>#N/A</v>
          </cell>
          <cell r="AH201" t="e">
            <v>#N/A</v>
          </cell>
          <cell r="AI201">
            <v>0</v>
          </cell>
          <cell r="AJ201">
            <v>85</v>
          </cell>
          <cell r="AK201" t="str">
            <v>solv.Less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</row>
        <row r="202">
          <cell r="K202" t="str">
            <v>SO24-2441</v>
          </cell>
          <cell r="L202" t="str">
            <v>DXN tea inner 250g Roll</v>
          </cell>
          <cell r="M202" t="str">
            <v>C24-2612</v>
          </cell>
          <cell r="O202" t="str">
            <v>BAL</v>
          </cell>
          <cell r="P202">
            <v>500</v>
          </cell>
          <cell r="Q202">
            <v>1</v>
          </cell>
          <cell r="R202">
            <v>500</v>
          </cell>
          <cell r="S202" t="str">
            <v>KG</v>
          </cell>
          <cell r="T202">
            <v>130.49568965517238</v>
          </cell>
          <cell r="U202">
            <v>11.174968071519794</v>
          </cell>
          <cell r="V202" t="e">
            <v>#N/A</v>
          </cell>
          <cell r="W202" t="str">
            <v>KG</v>
          </cell>
          <cell r="X202">
            <v>137</v>
          </cell>
          <cell r="Y202">
            <v>11.731963177049884</v>
          </cell>
          <cell r="Z202">
            <v>0</v>
          </cell>
          <cell r="AA202" t="str">
            <v>KG</v>
          </cell>
          <cell r="AB202">
            <v>0</v>
          </cell>
          <cell r="AC202">
            <v>130.49568965517238</v>
          </cell>
          <cell r="AD202">
            <v>11.174968071519794</v>
          </cell>
          <cell r="AE202" t="e">
            <v>#N/A</v>
          </cell>
          <cell r="AF202">
            <v>0</v>
          </cell>
          <cell r="AG202" t="e">
            <v>#N/A</v>
          </cell>
          <cell r="AH202" t="e">
            <v>#N/A</v>
          </cell>
          <cell r="AI202">
            <v>0</v>
          </cell>
          <cell r="AJ202">
            <v>137</v>
          </cell>
          <cell r="AK202" t="str">
            <v>solv.Less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</row>
        <row r="203">
          <cell r="K203" t="str">
            <v>SO24-2610</v>
          </cell>
          <cell r="L203" t="str">
            <v>NAMERI TEA  GOLD 50GM[MRP-RS 16/-]</v>
          </cell>
          <cell r="M203" t="str">
            <v>C24-2616</v>
          </cell>
          <cell r="O203" t="str">
            <v>COMPLETED</v>
          </cell>
          <cell r="P203">
            <v>500</v>
          </cell>
          <cell r="Q203">
            <v>1</v>
          </cell>
          <cell r="R203">
            <v>500</v>
          </cell>
          <cell r="S203" t="str">
            <v>KG</v>
          </cell>
          <cell r="T203">
            <v>127.93650793650789</v>
          </cell>
          <cell r="U203">
            <v>10.1151571739807</v>
          </cell>
          <cell r="V203">
            <v>506.14729153986616</v>
          </cell>
          <cell r="W203" t="str">
            <v>KG</v>
          </cell>
          <cell r="X203">
            <v>136</v>
          </cell>
          <cell r="Y203">
            <v>10.75268817204301</v>
          </cell>
          <cell r="Z203">
            <v>0</v>
          </cell>
          <cell r="AA203" t="str">
            <v>KG</v>
          </cell>
          <cell r="AB203">
            <v>0</v>
          </cell>
          <cell r="AC203">
            <v>-8.0634920634921059</v>
          </cell>
          <cell r="AD203">
            <v>-0.63753099806231073</v>
          </cell>
          <cell r="AE203">
            <v>0.66</v>
          </cell>
          <cell r="AF203">
            <v>0</v>
          </cell>
          <cell r="AG203">
            <v>0</v>
          </cell>
          <cell r="AH203">
            <v>0</v>
          </cell>
          <cell r="AI203">
            <v>136</v>
          </cell>
          <cell r="AJ203">
            <v>0</v>
          </cell>
          <cell r="AK203" t="str">
            <v>solv.Less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</row>
        <row r="204">
          <cell r="K204" t="str">
            <v>SO24-2616</v>
          </cell>
          <cell r="L204" t="str">
            <v>Nezone Fun Cream Orange 32g(R1)</v>
          </cell>
          <cell r="M204" t="str">
            <v>C24-2617</v>
          </cell>
          <cell r="O204" t="str">
            <v>BAL</v>
          </cell>
          <cell r="P204">
            <v>2000</v>
          </cell>
          <cell r="Q204">
            <v>1</v>
          </cell>
          <cell r="R204">
            <v>2000</v>
          </cell>
          <cell r="S204" t="str">
            <v>KG</v>
          </cell>
          <cell r="T204">
            <v>803.57142857142856</v>
          </cell>
          <cell r="U204">
            <v>56.689342403628117</v>
          </cell>
          <cell r="V204" t="e">
            <v>#N/A</v>
          </cell>
          <cell r="W204" t="str">
            <v>KG</v>
          </cell>
          <cell r="X204">
            <v>0</v>
          </cell>
          <cell r="Y204">
            <v>0</v>
          </cell>
          <cell r="Z204">
            <v>803.57142857142856</v>
          </cell>
          <cell r="AA204" t="str">
            <v>KG</v>
          </cell>
          <cell r="AB204">
            <v>56.689342403628117</v>
          </cell>
          <cell r="AC204">
            <v>803.57142857142856</v>
          </cell>
          <cell r="AD204">
            <v>56.689342403628117</v>
          </cell>
          <cell r="AE204" t="e">
            <v>#N/A</v>
          </cell>
          <cell r="AF204">
            <v>56.689342403628117</v>
          </cell>
          <cell r="AG204" t="e">
            <v>#N/A</v>
          </cell>
          <cell r="AH204" t="e">
            <v>#N/A</v>
          </cell>
          <cell r="AI204">
            <v>0</v>
          </cell>
          <cell r="AJ204">
            <v>0</v>
          </cell>
          <cell r="AK204" t="str">
            <v>Extrusion</v>
          </cell>
          <cell r="AL204">
            <v>2037</v>
          </cell>
          <cell r="AM204">
            <v>0</v>
          </cell>
          <cell r="AN204">
            <v>0</v>
          </cell>
          <cell r="AO204">
            <v>0</v>
          </cell>
        </row>
        <row r="205">
          <cell r="K205" t="str">
            <v>SO24-2607</v>
          </cell>
          <cell r="L205" t="str">
            <v>BAJAJ ALMOND HAIR OIL-2.4ML FLOW WRAP (350MM)PTD 12+30(4000139)</v>
          </cell>
          <cell r="M205" t="str">
            <v>C24-2618</v>
          </cell>
          <cell r="O205" t="str">
            <v>BAL</v>
          </cell>
          <cell r="P205">
            <v>1800</v>
          </cell>
          <cell r="Q205">
            <v>1</v>
          </cell>
          <cell r="R205">
            <v>1800</v>
          </cell>
          <cell r="S205" t="str">
            <v>KG</v>
          </cell>
          <cell r="T205">
            <v>693.11612903225796</v>
          </cell>
          <cell r="U205">
            <v>37.619263970922312</v>
          </cell>
          <cell r="V205">
            <v>0</v>
          </cell>
          <cell r="W205" t="str">
            <v>KG</v>
          </cell>
          <cell r="X205">
            <v>0</v>
          </cell>
          <cell r="Y205">
            <v>0</v>
          </cell>
          <cell r="Z205">
            <v>693.11612903225796</v>
          </cell>
          <cell r="AA205" t="str">
            <v>KG</v>
          </cell>
          <cell r="AB205">
            <v>37.619263970922312</v>
          </cell>
          <cell r="AC205">
            <v>693.11612903225796</v>
          </cell>
          <cell r="AD205">
            <v>37.619263970922312</v>
          </cell>
          <cell r="AE205">
            <v>1.05</v>
          </cell>
          <cell r="AF205">
            <v>0</v>
          </cell>
          <cell r="AG205">
            <v>0</v>
          </cell>
          <cell r="AH205">
            <v>37.619263970922312</v>
          </cell>
          <cell r="AI205">
            <v>0</v>
          </cell>
          <cell r="AJ205">
            <v>0</v>
          </cell>
          <cell r="AK205" t="str">
            <v>solv.Less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</row>
        <row r="206">
          <cell r="K206" t="str">
            <v>SO24-2617</v>
          </cell>
          <cell r="L206" t="str">
            <v>NEZONE GR8 MULTI GRAIN PAPDI CHAT RS-5 (R1)</v>
          </cell>
          <cell r="M206" t="str">
            <v>C24-2619</v>
          </cell>
          <cell r="O206" t="str">
            <v>BAL</v>
          </cell>
          <cell r="P206">
            <v>1500</v>
          </cell>
          <cell r="Q206">
            <v>1</v>
          </cell>
          <cell r="R206">
            <v>1500</v>
          </cell>
          <cell r="S206" t="str">
            <v>KG</v>
          </cell>
          <cell r="T206">
            <v>363.28638497652582</v>
          </cell>
          <cell r="U206">
            <v>28.766045211538984</v>
          </cell>
          <cell r="V206" t="e">
            <v>#N/A</v>
          </cell>
          <cell r="W206" t="str">
            <v>KG</v>
          </cell>
          <cell r="X206">
            <v>379</v>
          </cell>
          <cell r="Y206">
            <v>30.01029376831103</v>
          </cell>
          <cell r="Z206">
            <v>0</v>
          </cell>
          <cell r="AA206" t="str">
            <v>KG</v>
          </cell>
          <cell r="AB206">
            <v>0</v>
          </cell>
          <cell r="AC206">
            <v>-15.713615023474176</v>
          </cell>
          <cell r="AD206">
            <v>-1.2442485567720467</v>
          </cell>
          <cell r="AE206" t="e">
            <v>#N/A</v>
          </cell>
          <cell r="AF206">
            <v>0</v>
          </cell>
          <cell r="AG206" t="e">
            <v>#N/A</v>
          </cell>
          <cell r="AH206" t="e">
            <v>#N/A</v>
          </cell>
          <cell r="AI206">
            <v>379</v>
          </cell>
          <cell r="AJ206">
            <v>0</v>
          </cell>
          <cell r="AK206" t="str">
            <v>Extrusion</v>
          </cell>
          <cell r="AL206">
            <v>950.9643192488262</v>
          </cell>
          <cell r="AM206">
            <v>985</v>
          </cell>
          <cell r="AN206">
            <v>0</v>
          </cell>
          <cell r="AO206">
            <v>985</v>
          </cell>
        </row>
        <row r="207">
          <cell r="K207" t="str">
            <v>SO24-2604</v>
          </cell>
          <cell r="L207" t="str">
            <v>Bajaj ADHO 2.4ml (1140mm/Printed) (4001854) R1</v>
          </cell>
          <cell r="M207" t="str">
            <v>C24-2620</v>
          </cell>
          <cell r="O207" t="str">
            <v>BAL</v>
          </cell>
          <cell r="P207">
            <v>4000</v>
          </cell>
          <cell r="Q207">
            <v>1</v>
          </cell>
          <cell r="R207">
            <v>4000</v>
          </cell>
          <cell r="S207" t="str">
            <v>KG</v>
          </cell>
          <cell r="T207">
            <v>1076.7751060820365</v>
          </cell>
          <cell r="U207">
            <v>50.943869897193792</v>
          </cell>
          <cell r="V207" t="e">
            <v>#N/A</v>
          </cell>
          <cell r="W207" t="str">
            <v>KG</v>
          </cell>
          <cell r="X207">
            <v>1101</v>
          </cell>
          <cell r="Y207">
            <v>52.08998651621603</v>
          </cell>
          <cell r="Z207">
            <v>0</v>
          </cell>
          <cell r="AA207" t="str">
            <v>KG</v>
          </cell>
          <cell r="AB207">
            <v>0</v>
          </cell>
          <cell r="AC207">
            <v>1076.7751060820365</v>
          </cell>
          <cell r="AD207">
            <v>50.943869897193792</v>
          </cell>
          <cell r="AE207" t="e">
            <v>#N/A</v>
          </cell>
          <cell r="AF207">
            <v>0</v>
          </cell>
          <cell r="AG207" t="e">
            <v>#N/A</v>
          </cell>
          <cell r="AH207" t="e">
            <v>#N/A</v>
          </cell>
          <cell r="AI207">
            <v>0</v>
          </cell>
          <cell r="AJ207">
            <v>1101</v>
          </cell>
          <cell r="AK207" t="str">
            <v>solv.Less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</row>
        <row r="208">
          <cell r="K208" t="str">
            <v>SO24-2606</v>
          </cell>
          <cell r="L208" t="str">
            <v>Bajaj ADHO 2.4ml (760mm/Printed) (4001853) R1</v>
          </cell>
          <cell r="M208" t="str">
            <v>C24-2621</v>
          </cell>
          <cell r="O208" t="str">
            <v>BAL</v>
          </cell>
          <cell r="P208">
            <v>1000</v>
          </cell>
          <cell r="Q208">
            <v>1</v>
          </cell>
          <cell r="R208">
            <v>1000</v>
          </cell>
          <cell r="S208" t="str">
            <v>KG</v>
          </cell>
          <cell r="T208">
            <v>269.19377652050912</v>
          </cell>
          <cell r="U208">
            <v>18.980699913309302</v>
          </cell>
          <cell r="V208" t="e">
            <v>#N/A</v>
          </cell>
          <cell r="W208" t="str">
            <v>KG</v>
          </cell>
          <cell r="X208">
            <v>274</v>
          </cell>
          <cell r="Y208">
            <v>19.319583994359249</v>
          </cell>
          <cell r="Z208">
            <v>0</v>
          </cell>
          <cell r="AA208" t="str">
            <v>KG</v>
          </cell>
          <cell r="AB208">
            <v>0</v>
          </cell>
          <cell r="AC208">
            <v>269.19377652050912</v>
          </cell>
          <cell r="AD208">
            <v>18.980699913309302</v>
          </cell>
          <cell r="AE208" t="e">
            <v>#N/A</v>
          </cell>
          <cell r="AF208">
            <v>0</v>
          </cell>
          <cell r="AG208" t="e">
            <v>#N/A</v>
          </cell>
          <cell r="AH208" t="e">
            <v>#N/A</v>
          </cell>
          <cell r="AI208">
            <v>0</v>
          </cell>
          <cell r="AJ208">
            <v>274</v>
          </cell>
          <cell r="AK208" t="str">
            <v>solv.Less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</row>
        <row r="209">
          <cell r="K209" t="str">
            <v>SO24-2605</v>
          </cell>
          <cell r="L209" t="str">
            <v>Bajaj ADHO 2.4ml (1140mm/Printed) (4001854) R1</v>
          </cell>
          <cell r="M209" t="str">
            <v>C24-2622</v>
          </cell>
          <cell r="O209" t="str">
            <v>BAL</v>
          </cell>
          <cell r="P209">
            <v>12000</v>
          </cell>
          <cell r="Q209">
            <v>1</v>
          </cell>
          <cell r="R209">
            <v>12000</v>
          </cell>
          <cell r="S209" t="str">
            <v>KG</v>
          </cell>
          <cell r="T209">
            <v>3230.3253182461099</v>
          </cell>
          <cell r="U209">
            <v>152.83160969158141</v>
          </cell>
          <cell r="V209" t="e">
            <v>#N/A</v>
          </cell>
          <cell r="W209" t="str">
            <v>KG</v>
          </cell>
          <cell r="X209">
            <v>0</v>
          </cell>
          <cell r="Y209">
            <v>0</v>
          </cell>
          <cell r="Z209">
            <v>3230.3253182461099</v>
          </cell>
          <cell r="AA209" t="str">
            <v>KG</v>
          </cell>
          <cell r="AB209">
            <v>152.83160969158141</v>
          </cell>
          <cell r="AC209">
            <v>3230.3253182461099</v>
          </cell>
          <cell r="AD209">
            <v>152.83160969158141</v>
          </cell>
          <cell r="AE209" t="e">
            <v>#N/A</v>
          </cell>
          <cell r="AF209">
            <v>0</v>
          </cell>
          <cell r="AG209" t="e">
            <v>#N/A</v>
          </cell>
          <cell r="AH209" t="e">
            <v>#N/A</v>
          </cell>
          <cell r="AI209">
            <v>0</v>
          </cell>
          <cell r="AJ209">
            <v>0</v>
          </cell>
          <cell r="AK209" t="str">
            <v>solv.Less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</row>
        <row r="210">
          <cell r="K210" t="str">
            <v>SO24-2611</v>
          </cell>
          <cell r="L210" t="str">
            <v>Axom Tales Shockwave chanachur</v>
          </cell>
          <cell r="M210" t="str">
            <v>C24-2623</v>
          </cell>
          <cell r="N210" t="str">
            <v>Transit-ESTER 27 NOV</v>
          </cell>
          <cell r="O210" t="str">
            <v>BAL</v>
          </cell>
          <cell r="P210">
            <v>1000</v>
          </cell>
          <cell r="Q210">
            <v>1</v>
          </cell>
          <cell r="R210">
            <v>1000</v>
          </cell>
          <cell r="S210" t="str">
            <v>KG</v>
          </cell>
          <cell r="T210">
            <v>244.56521739130432</v>
          </cell>
          <cell r="U210">
            <v>14.492753623188404</v>
          </cell>
          <cell r="V210" t="e">
            <v>#N/A</v>
          </cell>
          <cell r="W210" t="str">
            <v>KG</v>
          </cell>
          <cell r="X210">
            <v>0</v>
          </cell>
          <cell r="Y210">
            <v>0</v>
          </cell>
          <cell r="Z210">
            <v>244.56521739130432</v>
          </cell>
          <cell r="AA210" t="str">
            <v>KG</v>
          </cell>
          <cell r="AB210">
            <v>14.492753623188404</v>
          </cell>
          <cell r="AC210">
            <v>244.56521739130432</v>
          </cell>
          <cell r="AD210">
            <v>14.492753623188404</v>
          </cell>
          <cell r="AE210" t="e">
            <v>#N/A</v>
          </cell>
          <cell r="AF210">
            <v>14.492753623188404</v>
          </cell>
          <cell r="AG210" t="e">
            <v>#N/A</v>
          </cell>
          <cell r="AH210" t="e">
            <v>#N/A</v>
          </cell>
          <cell r="AI210">
            <v>0</v>
          </cell>
          <cell r="AJ210">
            <v>0</v>
          </cell>
          <cell r="AK210" t="str">
            <v>Extrusion</v>
          </cell>
          <cell r="AL210">
            <v>612.04891304347814</v>
          </cell>
          <cell r="AM210">
            <v>0</v>
          </cell>
          <cell r="AN210">
            <v>0</v>
          </cell>
          <cell r="AO210">
            <v>0</v>
          </cell>
        </row>
        <row r="211">
          <cell r="K211" t="str">
            <v>SO24-2613</v>
          </cell>
          <cell r="L211" t="str">
            <v>AXOM TALES IKKIS ANNA CHANACHUR</v>
          </cell>
          <cell r="M211" t="str">
            <v>C24-2625</v>
          </cell>
          <cell r="N211" t="str">
            <v>Transit-ESTER 27 NOV</v>
          </cell>
          <cell r="O211" t="str">
            <v>BAL</v>
          </cell>
          <cell r="P211">
            <v>1000</v>
          </cell>
          <cell r="Q211">
            <v>1</v>
          </cell>
          <cell r="R211">
            <v>1000</v>
          </cell>
          <cell r="S211" t="str">
            <v>KG</v>
          </cell>
          <cell r="T211">
            <v>244.56521739130432</v>
          </cell>
          <cell r="U211">
            <v>14.492753623188404</v>
          </cell>
          <cell r="V211" t="e">
            <v>#N/A</v>
          </cell>
          <cell r="W211" t="str">
            <v>KG</v>
          </cell>
          <cell r="X211">
            <v>0</v>
          </cell>
          <cell r="Y211">
            <v>0</v>
          </cell>
          <cell r="Z211">
            <v>244.56521739130432</v>
          </cell>
          <cell r="AA211" t="str">
            <v>KG</v>
          </cell>
          <cell r="AB211">
            <v>14.492753623188404</v>
          </cell>
          <cell r="AC211">
            <v>244.56521739130432</v>
          </cell>
          <cell r="AD211">
            <v>14.492753623188404</v>
          </cell>
          <cell r="AE211" t="e">
            <v>#N/A</v>
          </cell>
          <cell r="AF211">
            <v>14.492753623188404</v>
          </cell>
          <cell r="AG211" t="e">
            <v>#N/A</v>
          </cell>
          <cell r="AH211" t="e">
            <v>#N/A</v>
          </cell>
          <cell r="AI211">
            <v>0</v>
          </cell>
          <cell r="AJ211">
            <v>0</v>
          </cell>
          <cell r="AK211" t="str">
            <v>Extrusion</v>
          </cell>
          <cell r="AL211">
            <v>612.04891304347814</v>
          </cell>
          <cell r="AM211">
            <v>0</v>
          </cell>
          <cell r="AN211">
            <v>0</v>
          </cell>
          <cell r="AO211">
            <v>0</v>
          </cell>
        </row>
        <row r="212">
          <cell r="K212" t="str">
            <v>SO24-2614</v>
          </cell>
          <cell r="L212" t="str">
            <v>Axom Tales Sweet Rusk Toast &amp; Family Toast (2 in 1)</v>
          </cell>
          <cell r="M212" t="str">
            <v>C24-2626</v>
          </cell>
          <cell r="O212" t="str">
            <v>BAL</v>
          </cell>
          <cell r="P212">
            <v>1000</v>
          </cell>
          <cell r="Q212">
            <v>1</v>
          </cell>
          <cell r="R212">
            <v>1000</v>
          </cell>
          <cell r="S212" t="str">
            <v>KG</v>
          </cell>
          <cell r="T212">
            <v>260.42216358839039</v>
          </cell>
          <cell r="U212">
            <v>14.504966224150074</v>
          </cell>
          <cell r="V212" t="e">
            <v>#N/A</v>
          </cell>
          <cell r="W212" t="str">
            <v>KG</v>
          </cell>
          <cell r="X212">
            <v>0</v>
          </cell>
          <cell r="Y212">
            <v>0</v>
          </cell>
          <cell r="Z212">
            <v>260.42216358839039</v>
          </cell>
          <cell r="AA212" t="str">
            <v>KG</v>
          </cell>
          <cell r="AB212">
            <v>14.504966224150074</v>
          </cell>
          <cell r="AC212">
            <v>260.42216358839039</v>
          </cell>
          <cell r="AD212">
            <v>14.504966224150074</v>
          </cell>
          <cell r="AE212" t="e">
            <v>#N/A</v>
          </cell>
          <cell r="AF212">
            <v>0</v>
          </cell>
          <cell r="AG212" t="e">
            <v>#N/A</v>
          </cell>
          <cell r="AH212" t="e">
            <v>#N/A</v>
          </cell>
          <cell r="AI212">
            <v>0</v>
          </cell>
          <cell r="AJ212">
            <v>0</v>
          </cell>
          <cell r="AK212" t="str">
            <v>solv.Less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</row>
        <row r="213">
          <cell r="K213" t="str">
            <v>SO24-2624</v>
          </cell>
          <cell r="L213" t="str">
            <v>NON- STOP-GOLDEN-PUFF Rs 5/-[8/8/10/19]2.2OD[CW-300MM]</v>
          </cell>
          <cell r="M213" t="str">
            <v>C24-2628</v>
          </cell>
          <cell r="O213" t="str">
            <v>BAL</v>
          </cell>
          <cell r="P213">
            <v>2000</v>
          </cell>
          <cell r="Q213">
            <v>1</v>
          </cell>
          <cell r="R213">
            <v>2000</v>
          </cell>
          <cell r="S213" t="str">
            <v>KG</v>
          </cell>
          <cell r="T213">
            <v>455.85552717986127</v>
          </cell>
          <cell r="U213">
            <v>41.413175305915175</v>
          </cell>
          <cell r="V213">
            <v>1733.6875800804773</v>
          </cell>
          <cell r="W213" t="str">
            <v>KG</v>
          </cell>
          <cell r="X213">
            <v>410</v>
          </cell>
          <cell r="Y213">
            <v>37.247331364978429</v>
          </cell>
          <cell r="Z213">
            <v>45.855527179861269</v>
          </cell>
          <cell r="AA213" t="str">
            <v>KG</v>
          </cell>
          <cell r="AB213">
            <v>4.165843940936746</v>
          </cell>
          <cell r="AC213">
            <v>455.85552717986127</v>
          </cell>
          <cell r="AD213">
            <v>41.413175305915175</v>
          </cell>
          <cell r="AE213">
            <v>0.9</v>
          </cell>
          <cell r="AF213">
            <v>4.165843940936746</v>
          </cell>
          <cell r="AG213">
            <v>0</v>
          </cell>
          <cell r="AH213">
            <v>4.165843940936746</v>
          </cell>
          <cell r="AI213">
            <v>0</v>
          </cell>
          <cell r="AJ213">
            <v>410</v>
          </cell>
          <cell r="AK213" t="str">
            <v>Extrusion</v>
          </cell>
          <cell r="AL213">
            <v>1255.9394381612549</v>
          </cell>
          <cell r="AM213">
            <v>0</v>
          </cell>
          <cell r="AN213">
            <v>0</v>
          </cell>
          <cell r="AO213">
            <v>0</v>
          </cell>
        </row>
        <row r="214">
          <cell r="K214" t="str">
            <v>SO24-2601</v>
          </cell>
          <cell r="L214" t="str">
            <v>ITC BINGO TMMRs550%245X161BOPP VTPaGSKu (FPSX02667)</v>
          </cell>
          <cell r="M214" t="str">
            <v>C24-2629</v>
          </cell>
          <cell r="O214" t="str">
            <v>BAL</v>
          </cell>
          <cell r="P214">
            <v>100000</v>
          </cell>
          <cell r="Q214">
            <v>1</v>
          </cell>
          <cell r="R214">
            <v>100000</v>
          </cell>
          <cell r="S214" t="str">
            <v>KG</v>
          </cell>
          <cell r="T214">
            <v>23311.373764774275</v>
          </cell>
          <cell r="U214">
            <v>2043.6472934687158</v>
          </cell>
          <cell r="V214" t="e">
            <v>#N/A</v>
          </cell>
          <cell r="W214" t="str">
            <v>KG</v>
          </cell>
          <cell r="X214">
            <v>3667</v>
          </cell>
          <cell r="Y214">
            <v>321.47631884629715</v>
          </cell>
          <cell r="Z214">
            <v>19644.373764774275</v>
          </cell>
          <cell r="AA214" t="str">
            <v>KG</v>
          </cell>
          <cell r="AB214">
            <v>1722.1709746224187</v>
          </cell>
          <cell r="AC214">
            <v>21367.373764774275</v>
          </cell>
          <cell r="AD214">
            <v>1873.2218874591165</v>
          </cell>
          <cell r="AE214" t="e">
            <v>#N/A</v>
          </cell>
          <cell r="AF214">
            <v>1722.1709746224187</v>
          </cell>
          <cell r="AG214" t="e">
            <v>#N/A</v>
          </cell>
          <cell r="AH214" t="e">
            <v>#N/A</v>
          </cell>
          <cell r="AI214">
            <v>1944</v>
          </cell>
          <cell r="AJ214">
            <v>1723</v>
          </cell>
          <cell r="AK214" t="str">
            <v>Extrusion</v>
          </cell>
          <cell r="AL214">
            <v>66441.522960666567</v>
          </cell>
          <cell r="AM214">
            <v>5627</v>
          </cell>
          <cell r="AN214">
            <v>0</v>
          </cell>
          <cell r="AO214">
            <v>5627</v>
          </cell>
        </row>
        <row r="215">
          <cell r="K215" t="str">
            <v>SO24-2602</v>
          </cell>
          <cell r="L215" t="str">
            <v>ITC BINGO TMMRs550%245X161PET (FPSX02660)</v>
          </cell>
          <cell r="M215" t="str">
            <v>C24-2630</v>
          </cell>
          <cell r="O215" t="str">
            <v>BAL</v>
          </cell>
          <cell r="P215">
            <v>69000</v>
          </cell>
          <cell r="Q215">
            <v>1</v>
          </cell>
          <cell r="R215">
            <v>69000</v>
          </cell>
          <cell r="S215" t="str">
            <v>KG</v>
          </cell>
          <cell r="T215">
            <v>16600.25111068186</v>
          </cell>
          <cell r="U215">
            <v>1405.7585358892229</v>
          </cell>
          <cell r="V215" t="e">
            <v>#N/A</v>
          </cell>
          <cell r="W215" t="str">
            <v>KG</v>
          </cell>
          <cell r="X215">
            <v>0</v>
          </cell>
          <cell r="Y215">
            <v>0</v>
          </cell>
          <cell r="Z215">
            <v>16600.25111068186</v>
          </cell>
          <cell r="AA215" t="str">
            <v>KG</v>
          </cell>
          <cell r="AB215">
            <v>1405.7585358892229</v>
          </cell>
          <cell r="AC215">
            <v>16600.25111068186</v>
          </cell>
          <cell r="AD215">
            <v>1405.7585358892229</v>
          </cell>
          <cell r="AE215" t="e">
            <v>#N/A</v>
          </cell>
          <cell r="AF215">
            <v>1405.7585358892229</v>
          </cell>
          <cell r="AG215" t="e">
            <v>#N/A</v>
          </cell>
          <cell r="AH215" t="e">
            <v>#N/A</v>
          </cell>
          <cell r="AI215">
            <v>0</v>
          </cell>
          <cell r="AJ215">
            <v>0</v>
          </cell>
          <cell r="AK215" t="str">
            <v>Extrusion</v>
          </cell>
          <cell r="AL215">
            <v>45922.228278926021</v>
          </cell>
          <cell r="AM215">
            <v>0</v>
          </cell>
          <cell r="AN215">
            <v>0</v>
          </cell>
          <cell r="AO215">
            <v>0</v>
          </cell>
        </row>
        <row r="216">
          <cell r="K216" t="str">
            <v>SO24-2625</v>
          </cell>
          <cell r="L216" t="str">
            <v>Non Stop Pipe Rs 5/- (285X190)</v>
          </cell>
          <cell r="M216" t="str">
            <v>C24-2631</v>
          </cell>
          <cell r="O216" t="str">
            <v>BAL</v>
          </cell>
          <cell r="P216">
            <v>2000</v>
          </cell>
          <cell r="Q216">
            <v>1</v>
          </cell>
          <cell r="R216">
            <v>2000</v>
          </cell>
          <cell r="S216" t="str">
            <v>KG</v>
          </cell>
          <cell r="T216">
            <v>518.77470355731225</v>
          </cell>
          <cell r="U216">
            <v>29.686678315153774</v>
          </cell>
          <cell r="V216" t="e">
            <v>#N/A</v>
          </cell>
          <cell r="W216" t="str">
            <v>KG</v>
          </cell>
          <cell r="X216">
            <v>0</v>
          </cell>
          <cell r="Y216">
            <v>0</v>
          </cell>
          <cell r="Z216">
            <v>518.77470355731225</v>
          </cell>
          <cell r="AA216" t="str">
            <v>KG</v>
          </cell>
          <cell r="AB216">
            <v>29.686678315153774</v>
          </cell>
          <cell r="AC216">
            <v>518.77470355731225</v>
          </cell>
          <cell r="AD216">
            <v>29.686678315153774</v>
          </cell>
          <cell r="AE216" t="e">
            <v>#N/A</v>
          </cell>
          <cell r="AF216">
            <v>29.686678315153774</v>
          </cell>
          <cell r="AG216" t="e">
            <v>#N/A</v>
          </cell>
          <cell r="AH216" t="e">
            <v>#N/A</v>
          </cell>
          <cell r="AI216">
            <v>0</v>
          </cell>
          <cell r="AJ216">
            <v>0</v>
          </cell>
          <cell r="AK216" t="str">
            <v>Extrusion</v>
          </cell>
          <cell r="AL216">
            <v>1335.1877470355728</v>
          </cell>
          <cell r="AM216">
            <v>0</v>
          </cell>
          <cell r="AN216">
            <v>0</v>
          </cell>
          <cell r="AO216">
            <v>0</v>
          </cell>
        </row>
        <row r="217">
          <cell r="K217" t="str">
            <v>SO24-2626</v>
          </cell>
          <cell r="L217" t="str">
            <v>Non Stop Crunchy Poochka Rs 5/- (320x200)</v>
          </cell>
          <cell r="M217" t="str">
            <v>C24-2632</v>
          </cell>
          <cell r="O217" t="str">
            <v>BAL</v>
          </cell>
          <cell r="P217">
            <v>2000</v>
          </cell>
          <cell r="Q217">
            <v>1</v>
          </cell>
          <cell r="R217">
            <v>2000</v>
          </cell>
          <cell r="S217" t="str">
            <v>KG</v>
          </cell>
          <cell r="T217">
            <v>615.61264822134376</v>
          </cell>
          <cell r="U217">
            <v>35.111655063100663</v>
          </cell>
          <cell r="V217" t="e">
            <v>#N/A</v>
          </cell>
          <cell r="W217" t="str">
            <v>KG</v>
          </cell>
          <cell r="X217">
            <v>0</v>
          </cell>
          <cell r="Y217">
            <v>0</v>
          </cell>
          <cell r="Z217">
            <v>615.61264822134376</v>
          </cell>
          <cell r="AA217" t="str">
            <v>KG</v>
          </cell>
          <cell r="AB217">
            <v>35.111655063100663</v>
          </cell>
          <cell r="AC217">
            <v>615.61264822134376</v>
          </cell>
          <cell r="AD217">
            <v>35.111655063100663</v>
          </cell>
          <cell r="AE217" t="e">
            <v>#N/A</v>
          </cell>
          <cell r="AF217">
            <v>35.111655063100663</v>
          </cell>
          <cell r="AG217" t="e">
            <v>#N/A</v>
          </cell>
          <cell r="AH217" t="e">
            <v>#N/A</v>
          </cell>
          <cell r="AI217">
            <v>0</v>
          </cell>
          <cell r="AJ217">
            <v>0</v>
          </cell>
          <cell r="AK217" t="str">
            <v>Extrusion</v>
          </cell>
          <cell r="AL217">
            <v>1335.187747035573</v>
          </cell>
          <cell r="AM217">
            <v>0</v>
          </cell>
          <cell r="AN217">
            <v>0</v>
          </cell>
          <cell r="AO217">
            <v>0</v>
          </cell>
        </row>
        <row r="218">
          <cell r="K218" t="str">
            <v>SO24-2445</v>
          </cell>
          <cell r="L218" t="str">
            <v>ITC Bingo TMM Rs 10 50% 274X188 East/NE (FPSX02747)</v>
          </cell>
          <cell r="M218" t="str">
            <v>C24-2633</v>
          </cell>
          <cell r="O218" t="str">
            <v>BAL</v>
          </cell>
          <cell r="P218">
            <v>7000</v>
          </cell>
          <cell r="Q218">
            <v>1</v>
          </cell>
          <cell r="R218">
            <v>7000</v>
          </cell>
          <cell r="S218" t="str">
            <v>KG</v>
          </cell>
          <cell r="T218">
            <v>1633.017774343122</v>
          </cell>
          <cell r="U218">
            <v>126.22359608449253</v>
          </cell>
          <cell r="V218" t="e">
            <v>#N/A</v>
          </cell>
          <cell r="W218" t="str">
            <v>KG</v>
          </cell>
          <cell r="X218">
            <v>1661</v>
          </cell>
          <cell r="Y218">
            <v>128.38647342995168</v>
          </cell>
          <cell r="Z218">
            <v>0</v>
          </cell>
          <cell r="AA218" t="str">
            <v>KG</v>
          </cell>
          <cell r="AB218">
            <v>0</v>
          </cell>
          <cell r="AC218">
            <v>-27.982225656877972</v>
          </cell>
          <cell r="AD218">
            <v>-2.162877345459167</v>
          </cell>
          <cell r="AE218" t="e">
            <v>#N/A</v>
          </cell>
          <cell r="AF218">
            <v>0</v>
          </cell>
          <cell r="AG218" t="e">
            <v>#N/A</v>
          </cell>
          <cell r="AH218" t="e">
            <v>#N/A</v>
          </cell>
          <cell r="AI218">
            <v>1661</v>
          </cell>
          <cell r="AJ218">
            <v>0</v>
          </cell>
          <cell r="AK218" t="str">
            <v>Extrusion</v>
          </cell>
          <cell r="AL218">
            <v>4614.3402241112835</v>
          </cell>
          <cell r="AM218">
            <v>4665</v>
          </cell>
          <cell r="AN218">
            <v>0</v>
          </cell>
          <cell r="AO218">
            <v>4665</v>
          </cell>
        </row>
        <row r="219">
          <cell r="K219" t="str">
            <v>SO24-2628</v>
          </cell>
          <cell r="L219" t="str">
            <v>Indiana Fried Snacks 20gm(10/10W/10/20N)R1</v>
          </cell>
          <cell r="M219" t="str">
            <v>C24-2634</v>
          </cell>
          <cell r="O219" t="str">
            <v>BAL</v>
          </cell>
          <cell r="P219">
            <v>1000</v>
          </cell>
          <cell r="Q219">
            <v>1</v>
          </cell>
          <cell r="R219">
            <v>1000</v>
          </cell>
          <cell r="S219" t="str">
            <v>KG</v>
          </cell>
          <cell r="T219">
            <v>262.93823038397329</v>
          </cell>
          <cell r="U219">
            <v>17.101673520908832</v>
          </cell>
          <cell r="V219" t="e">
            <v>#N/A</v>
          </cell>
          <cell r="W219" t="str">
            <v>KG</v>
          </cell>
          <cell r="X219">
            <v>0</v>
          </cell>
          <cell r="Y219">
            <v>0</v>
          </cell>
          <cell r="Z219">
            <v>262.93823038397329</v>
          </cell>
          <cell r="AA219" t="str">
            <v>KG</v>
          </cell>
          <cell r="AB219">
            <v>17.101673520908832</v>
          </cell>
          <cell r="AC219">
            <v>262.93823038397329</v>
          </cell>
          <cell r="AD219">
            <v>17.101673520908832</v>
          </cell>
          <cell r="AE219" t="e">
            <v>#N/A</v>
          </cell>
          <cell r="AF219">
            <v>17.101673520908832</v>
          </cell>
          <cell r="AG219" t="e">
            <v>#N/A</v>
          </cell>
          <cell r="AH219" t="e">
            <v>#N/A</v>
          </cell>
          <cell r="AI219">
            <v>0</v>
          </cell>
          <cell r="AJ219">
            <v>0</v>
          </cell>
          <cell r="AK219" t="str">
            <v>Extrusion</v>
          </cell>
          <cell r="AL219">
            <v>676.73288814691159</v>
          </cell>
          <cell r="AM219">
            <v>0</v>
          </cell>
          <cell r="AN219">
            <v>0</v>
          </cell>
          <cell r="AO219">
            <v>0</v>
          </cell>
        </row>
        <row r="220">
          <cell r="K220" t="str">
            <v>SO24-2629</v>
          </cell>
          <cell r="L220" t="str">
            <v>ADHUNIK MUSTARD.OIL RS 10/-</v>
          </cell>
          <cell r="M220" t="str">
            <v>C24-2635</v>
          </cell>
          <cell r="O220" t="str">
            <v>BAL</v>
          </cell>
          <cell r="P220">
            <v>1000</v>
          </cell>
          <cell r="Q220">
            <v>1</v>
          </cell>
          <cell r="R220">
            <v>1000</v>
          </cell>
          <cell r="S220" t="str">
            <v>KG</v>
          </cell>
          <cell r="T220">
            <v>238.33117723156528</v>
          </cell>
          <cell r="U220">
            <v>16.842002489687324</v>
          </cell>
          <cell r="V220">
            <v>0</v>
          </cell>
          <cell r="W220" t="str">
            <v>KG</v>
          </cell>
          <cell r="X220">
            <v>0</v>
          </cell>
          <cell r="Y220">
            <v>0</v>
          </cell>
          <cell r="Z220">
            <v>238.33117723156528</v>
          </cell>
          <cell r="AA220" t="str">
            <v>KG</v>
          </cell>
          <cell r="AB220">
            <v>16.842002489687324</v>
          </cell>
          <cell r="AC220">
            <v>238.33117723156528</v>
          </cell>
          <cell r="AD220">
            <v>16.842002489687324</v>
          </cell>
          <cell r="AE220">
            <v>0.78</v>
          </cell>
          <cell r="AF220">
            <v>0</v>
          </cell>
          <cell r="AG220">
            <v>16.842002489687324</v>
          </cell>
          <cell r="AH220">
            <v>0</v>
          </cell>
          <cell r="AI220">
            <v>0</v>
          </cell>
          <cell r="AJ220">
            <v>0</v>
          </cell>
          <cell r="AK220" t="str">
            <v>Solv.Base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</row>
        <row r="221">
          <cell r="K221" t="str">
            <v>SO24-2630</v>
          </cell>
          <cell r="L221" t="str">
            <v>ADHUNIK MUSTARD.OIL RS 5/-</v>
          </cell>
          <cell r="M221" t="str">
            <v>C24-2636</v>
          </cell>
          <cell r="O221" t="str">
            <v>BAL</v>
          </cell>
          <cell r="P221">
            <v>1000</v>
          </cell>
          <cell r="Q221">
            <v>1</v>
          </cell>
          <cell r="R221">
            <v>1000</v>
          </cell>
          <cell r="S221" t="str">
            <v>KG</v>
          </cell>
          <cell r="T221">
            <v>238.33117723156528</v>
          </cell>
          <cell r="U221">
            <v>19.265312200433701</v>
          </cell>
          <cell r="V221">
            <v>0</v>
          </cell>
          <cell r="W221" t="str">
            <v>KG</v>
          </cell>
          <cell r="X221">
            <v>0</v>
          </cell>
          <cell r="Y221">
            <v>0</v>
          </cell>
          <cell r="Z221">
            <v>238.33117723156528</v>
          </cell>
          <cell r="AA221" t="str">
            <v>KG</v>
          </cell>
          <cell r="AB221">
            <v>19.265312200433701</v>
          </cell>
          <cell r="AC221">
            <v>238.33117723156528</v>
          </cell>
          <cell r="AD221">
            <v>19.265312200433701</v>
          </cell>
          <cell r="AE221">
            <v>0.68</v>
          </cell>
          <cell r="AF221">
            <v>0</v>
          </cell>
          <cell r="AG221">
            <v>19.265312200433701</v>
          </cell>
          <cell r="AH221">
            <v>0</v>
          </cell>
          <cell r="AI221">
            <v>0</v>
          </cell>
          <cell r="AJ221">
            <v>0</v>
          </cell>
          <cell r="AK221" t="str">
            <v>Solv.Base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</row>
        <row r="222">
          <cell r="K222" t="str">
            <v>SO24-2623</v>
          </cell>
          <cell r="L222" t="str">
            <v>Dabur_PTD-CHYAMAN PRASH 3N- 950GM-360MM X 55MIC -SHRINK FILM(1222051284)</v>
          </cell>
          <cell r="M222" t="str">
            <v>C24-2638</v>
          </cell>
          <cell r="O222" t="str">
            <v>BAL</v>
          </cell>
          <cell r="P222">
            <v>2500</v>
          </cell>
          <cell r="Q222">
            <v>1</v>
          </cell>
          <cell r="R222">
            <v>2500</v>
          </cell>
          <cell r="S222" t="str">
            <v>KG</v>
          </cell>
          <cell r="T222">
            <v>2500</v>
          </cell>
          <cell r="U222">
            <v>67.680978937679356</v>
          </cell>
          <cell r="V222">
            <v>2345.7224088911862</v>
          </cell>
          <cell r="W222" t="str">
            <v>KG</v>
          </cell>
          <cell r="X222">
            <v>2521</v>
          </cell>
          <cell r="Y222">
            <v>68.24949916075586</v>
          </cell>
          <cell r="Z222">
            <v>0</v>
          </cell>
          <cell r="AA222" t="str">
            <v>KG</v>
          </cell>
          <cell r="AB222">
            <v>0</v>
          </cell>
          <cell r="AC222">
            <v>2500</v>
          </cell>
          <cell r="AD222">
            <v>67.680978937679356</v>
          </cell>
          <cell r="AE222">
            <v>0.72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2521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</row>
        <row r="223">
          <cell r="K223" t="str">
            <v>SO24-2618</v>
          </cell>
          <cell r="L223" t="str">
            <v>Grab On Masala Noodles Rs 5/-</v>
          </cell>
          <cell r="M223" t="str">
            <v>C24-2639</v>
          </cell>
          <cell r="O223" t="str">
            <v>BAL</v>
          </cell>
          <cell r="P223">
            <v>800</v>
          </cell>
          <cell r="Q223">
            <v>1</v>
          </cell>
          <cell r="R223">
            <v>800</v>
          </cell>
          <cell r="S223" t="str">
            <v>KG</v>
          </cell>
          <cell r="T223">
            <v>207.50988142292491</v>
          </cell>
          <cell r="U223">
            <v>15.993054444926775</v>
          </cell>
          <cell r="V223" t="e">
            <v>#N/A</v>
          </cell>
          <cell r="W223" t="str">
            <v>KG</v>
          </cell>
          <cell r="X223">
            <v>0</v>
          </cell>
          <cell r="Y223">
            <v>0</v>
          </cell>
          <cell r="Z223">
            <v>207.50988142292491</v>
          </cell>
          <cell r="AA223" t="str">
            <v>KG</v>
          </cell>
          <cell r="AB223">
            <v>15.993054444926775</v>
          </cell>
          <cell r="AC223">
            <v>207.50988142292491</v>
          </cell>
          <cell r="AD223">
            <v>15.993054444926775</v>
          </cell>
          <cell r="AE223" t="e">
            <v>#N/A</v>
          </cell>
          <cell r="AF223">
            <v>15.993054444926775</v>
          </cell>
          <cell r="AG223" t="e">
            <v>#N/A</v>
          </cell>
          <cell r="AH223" t="e">
            <v>#N/A</v>
          </cell>
          <cell r="AI223">
            <v>0</v>
          </cell>
          <cell r="AJ223">
            <v>0</v>
          </cell>
          <cell r="AK223" t="str">
            <v>Extrusion</v>
          </cell>
          <cell r="AL223">
            <v>534.07509881422914</v>
          </cell>
          <cell r="AM223">
            <v>0</v>
          </cell>
          <cell r="AN223">
            <v>0</v>
          </cell>
          <cell r="AO223">
            <v>0</v>
          </cell>
        </row>
        <row r="224">
          <cell r="K224" t="str">
            <v>SO24-2619</v>
          </cell>
          <cell r="L224" t="str">
            <v>Meaning Food So Yam Soya Chunks Rs.10/-</v>
          </cell>
          <cell r="M224" t="str">
            <v>C24-2640</v>
          </cell>
          <cell r="O224" t="str">
            <v>BAL</v>
          </cell>
          <cell r="P224">
            <v>1300</v>
          </cell>
          <cell r="Q224">
            <v>1</v>
          </cell>
          <cell r="R224">
            <v>1300</v>
          </cell>
          <cell r="S224" t="str">
            <v>KG</v>
          </cell>
          <cell r="T224">
            <v>299.03999999999996</v>
          </cell>
          <cell r="U224">
            <v>19.649122807017548</v>
          </cell>
          <cell r="V224" t="e">
            <v>#N/A</v>
          </cell>
          <cell r="W224" t="str">
            <v>KG</v>
          </cell>
          <cell r="X224">
            <v>0</v>
          </cell>
          <cell r="Y224">
            <v>0</v>
          </cell>
          <cell r="Z224">
            <v>299.03999999999996</v>
          </cell>
          <cell r="AA224" t="str">
            <v>KG</v>
          </cell>
          <cell r="AB224">
            <v>19.649122807017548</v>
          </cell>
          <cell r="AC224">
            <v>299.03999999999996</v>
          </cell>
          <cell r="AD224">
            <v>19.649122807017548</v>
          </cell>
          <cell r="AE224" t="e">
            <v>#N/A</v>
          </cell>
          <cell r="AF224">
            <v>0</v>
          </cell>
          <cell r="AG224" t="e">
            <v>#N/A</v>
          </cell>
          <cell r="AH224" t="e">
            <v>#N/A</v>
          </cell>
          <cell r="AI224">
            <v>0</v>
          </cell>
          <cell r="AJ224">
            <v>0</v>
          </cell>
          <cell r="AK224" t="str">
            <v>solv.Less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</row>
        <row r="225">
          <cell r="K225" t="str">
            <v>SO24-2620</v>
          </cell>
          <cell r="L225" t="str">
            <v>Grab on Combo 9 Rs 5/- (Cars/Cars/Pencil Box)</v>
          </cell>
          <cell r="M225" t="str">
            <v>C24-2641</v>
          </cell>
          <cell r="O225" t="str">
            <v>BAL</v>
          </cell>
          <cell r="P225">
            <v>1000</v>
          </cell>
          <cell r="Q225">
            <v>1</v>
          </cell>
          <cell r="R225">
            <v>1000</v>
          </cell>
          <cell r="S225" t="str">
            <v>KG</v>
          </cell>
          <cell r="T225">
            <v>259.38735177865613</v>
          </cell>
          <cell r="U225">
            <v>19.99131805615847</v>
          </cell>
          <cell r="V225" t="e">
            <v>#N/A</v>
          </cell>
          <cell r="W225" t="str">
            <v>KG</v>
          </cell>
          <cell r="X225">
            <v>0</v>
          </cell>
          <cell r="Y225">
            <v>0</v>
          </cell>
          <cell r="Z225">
            <v>259.38735177865613</v>
          </cell>
          <cell r="AA225" t="str">
            <v>KG</v>
          </cell>
          <cell r="AB225">
            <v>19.99131805615847</v>
          </cell>
          <cell r="AC225">
            <v>259.38735177865613</v>
          </cell>
          <cell r="AD225">
            <v>19.99131805615847</v>
          </cell>
          <cell r="AE225" t="e">
            <v>#N/A</v>
          </cell>
          <cell r="AF225">
            <v>19.99131805615847</v>
          </cell>
          <cell r="AG225" t="e">
            <v>#N/A</v>
          </cell>
          <cell r="AH225" t="e">
            <v>#N/A</v>
          </cell>
          <cell r="AI225">
            <v>0</v>
          </cell>
          <cell r="AJ225">
            <v>0</v>
          </cell>
          <cell r="AK225" t="str">
            <v>Extrusion</v>
          </cell>
          <cell r="AL225">
            <v>667.59387351778651</v>
          </cell>
          <cell r="AM225">
            <v>0</v>
          </cell>
          <cell r="AN225">
            <v>0</v>
          </cell>
          <cell r="AO225">
            <v>0</v>
          </cell>
        </row>
        <row r="226">
          <cell r="K226" t="str">
            <v>SO24-2636</v>
          </cell>
          <cell r="L226" t="str">
            <v>MOYUR- ATTA- 5KG[ROLL]</v>
          </cell>
          <cell r="M226" t="str">
            <v>C24-2642</v>
          </cell>
          <cell r="O226" t="str">
            <v>BAL</v>
          </cell>
          <cell r="P226">
            <v>2000</v>
          </cell>
          <cell r="Q226">
            <v>1</v>
          </cell>
          <cell r="R226">
            <v>2000</v>
          </cell>
          <cell r="S226" t="str">
            <v>KG</v>
          </cell>
          <cell r="T226">
            <v>367.1748878923766</v>
          </cell>
          <cell r="U226">
            <v>30.335003956739644</v>
          </cell>
          <cell r="V226">
            <v>0</v>
          </cell>
          <cell r="W226" t="str">
            <v>KG</v>
          </cell>
          <cell r="X226">
            <v>0</v>
          </cell>
          <cell r="Y226">
            <v>0</v>
          </cell>
          <cell r="Z226">
            <v>367.1748878923766</v>
          </cell>
          <cell r="AA226" t="str">
            <v>KG</v>
          </cell>
          <cell r="AB226">
            <v>30.335003956739644</v>
          </cell>
          <cell r="AC226">
            <v>367.1748878923766</v>
          </cell>
          <cell r="AD226">
            <v>30.335003956739644</v>
          </cell>
          <cell r="AE226">
            <v>0.66500000000000004</v>
          </cell>
          <cell r="AF226">
            <v>0</v>
          </cell>
          <cell r="AG226">
            <v>0</v>
          </cell>
          <cell r="AH226">
            <v>30.335003956739644</v>
          </cell>
          <cell r="AI226">
            <v>0</v>
          </cell>
          <cell r="AJ226">
            <v>0</v>
          </cell>
          <cell r="AK226" t="str">
            <v>solv.Less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</row>
        <row r="227">
          <cell r="K227" t="str">
            <v>SO24-2562</v>
          </cell>
          <cell r="L227" t="str">
            <v>TRISHUL BESAN 1KG (12/55W)(Roll)</v>
          </cell>
          <cell r="M227" t="str">
            <v>C24-2647</v>
          </cell>
          <cell r="O227" t="str">
            <v>BAL</v>
          </cell>
          <cell r="P227">
            <v>1000</v>
          </cell>
          <cell r="Q227">
            <v>1</v>
          </cell>
          <cell r="R227">
            <v>1000</v>
          </cell>
          <cell r="S227" t="str">
            <v>KG</v>
          </cell>
          <cell r="T227">
            <v>260.48780487804873</v>
          </cell>
          <cell r="U227">
            <v>16.260162601626018</v>
          </cell>
          <cell r="V227" t="e">
            <v>#N/A</v>
          </cell>
          <cell r="W227" t="str">
            <v>KG</v>
          </cell>
          <cell r="X227">
            <v>263</v>
          </cell>
          <cell r="Y227">
            <v>16.416978776529341</v>
          </cell>
          <cell r="Z227">
            <v>0</v>
          </cell>
          <cell r="AA227" t="str">
            <v>KG</v>
          </cell>
          <cell r="AB227">
            <v>0</v>
          </cell>
          <cell r="AC227">
            <v>260.48780487804873</v>
          </cell>
          <cell r="AD227">
            <v>16.260162601626018</v>
          </cell>
          <cell r="AE227" t="e">
            <v>#N/A</v>
          </cell>
          <cell r="AF227">
            <v>0</v>
          </cell>
          <cell r="AG227" t="e">
            <v>#N/A</v>
          </cell>
          <cell r="AH227" t="e">
            <v>#N/A</v>
          </cell>
          <cell r="AI227">
            <v>0</v>
          </cell>
          <cell r="AJ227">
            <v>263</v>
          </cell>
          <cell r="AK227" t="str">
            <v>solv.Less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</row>
        <row r="228">
          <cell r="K228" t="str">
            <v>SO24-2563</v>
          </cell>
          <cell r="L228" t="str">
            <v>TRISHUL BESAN 200GM(12/55W) (Roll)</v>
          </cell>
          <cell r="M228" t="str">
            <v>C24-2648</v>
          </cell>
          <cell r="O228" t="str">
            <v>COMPLETED</v>
          </cell>
          <cell r="P228">
            <v>1000</v>
          </cell>
          <cell r="Q228">
            <v>1</v>
          </cell>
          <cell r="R228">
            <v>1000</v>
          </cell>
          <cell r="S228" t="str">
            <v>KG</v>
          </cell>
          <cell r="T228">
            <v>260.48780487804873</v>
          </cell>
          <cell r="U228">
            <v>17.115960633290541</v>
          </cell>
          <cell r="V228" t="e">
            <v>#N/A</v>
          </cell>
          <cell r="W228" t="str">
            <v>KG</v>
          </cell>
          <cell r="X228">
            <v>264</v>
          </cell>
          <cell r="Y228">
            <v>17.346737630593342</v>
          </cell>
          <cell r="Z228">
            <v>0</v>
          </cell>
          <cell r="AA228" t="str">
            <v>KG</v>
          </cell>
          <cell r="AB228">
            <v>0</v>
          </cell>
          <cell r="AC228">
            <v>-3.5121951219512653</v>
          </cell>
          <cell r="AD228">
            <v>-0.23077699730279691</v>
          </cell>
          <cell r="AE228" t="e">
            <v>#N/A</v>
          </cell>
          <cell r="AF228">
            <v>0</v>
          </cell>
          <cell r="AG228" t="e">
            <v>#N/A</v>
          </cell>
          <cell r="AH228" t="e">
            <v>#N/A</v>
          </cell>
          <cell r="AI228">
            <v>264</v>
          </cell>
          <cell r="AJ228">
            <v>0</v>
          </cell>
          <cell r="AK228" t="str">
            <v>solv.Less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</row>
        <row r="229">
          <cell r="K229" t="str">
            <v>SO24-2564</v>
          </cell>
          <cell r="L229" t="str">
            <v>TRISHUL BESAN- 500GM (12/55W)(Roll)</v>
          </cell>
          <cell r="M229" t="str">
            <v>C24-2649</v>
          </cell>
          <cell r="O229" t="str">
            <v>BAL</v>
          </cell>
          <cell r="P229">
            <v>1000</v>
          </cell>
          <cell r="Q229">
            <v>1</v>
          </cell>
          <cell r="R229">
            <v>1000</v>
          </cell>
          <cell r="S229" t="str">
            <v>KG</v>
          </cell>
          <cell r="T229">
            <v>260.48780487804873</v>
          </cell>
          <cell r="U229">
            <v>18.407731247123788</v>
          </cell>
          <cell r="V229" t="e">
            <v>#N/A</v>
          </cell>
          <cell r="W229" t="str">
            <v>KG</v>
          </cell>
          <cell r="X229">
            <v>265</v>
          </cell>
          <cell r="Y229">
            <v>18.726591760299627</v>
          </cell>
          <cell r="Z229">
            <v>0</v>
          </cell>
          <cell r="AA229" t="str">
            <v>KG</v>
          </cell>
          <cell r="AB229">
            <v>0</v>
          </cell>
          <cell r="AC229">
            <v>260.48780487804873</v>
          </cell>
          <cell r="AD229">
            <v>18.407731247123788</v>
          </cell>
          <cell r="AE229" t="e">
            <v>#N/A</v>
          </cell>
          <cell r="AF229">
            <v>0</v>
          </cell>
          <cell r="AG229" t="e">
            <v>#N/A</v>
          </cell>
          <cell r="AH229" t="e">
            <v>#N/A</v>
          </cell>
          <cell r="AI229">
            <v>0</v>
          </cell>
          <cell r="AJ229">
            <v>265</v>
          </cell>
          <cell r="AK229" t="str">
            <v>solv.Less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</row>
        <row r="230">
          <cell r="K230" t="str">
            <v>SO24-2545</v>
          </cell>
          <cell r="L230" t="str">
            <v>NH Roti Pouch-R1</v>
          </cell>
          <cell r="M230" t="str">
            <v>C24-2650</v>
          </cell>
          <cell r="O230" t="str">
            <v>BAL</v>
          </cell>
          <cell r="P230">
            <v>500</v>
          </cell>
          <cell r="Q230">
            <v>1</v>
          </cell>
          <cell r="R230">
            <v>500</v>
          </cell>
          <cell r="S230" t="str">
            <v>KG</v>
          </cell>
          <cell r="T230">
            <v>182.82568807339447</v>
          </cell>
          <cell r="U230">
            <v>16.912644595133628</v>
          </cell>
          <cell r="V230" t="e">
            <v>#N/A</v>
          </cell>
          <cell r="W230" t="str">
            <v>KG</v>
          </cell>
          <cell r="X230">
            <v>0</v>
          </cell>
          <cell r="Y230">
            <v>0</v>
          </cell>
          <cell r="Z230">
            <v>182.82568807339447</v>
          </cell>
          <cell r="AA230" t="str">
            <v>KG</v>
          </cell>
          <cell r="AB230">
            <v>16.912644595133628</v>
          </cell>
          <cell r="AC230">
            <v>182.82568807339447</v>
          </cell>
          <cell r="AD230">
            <v>16.912644595133628</v>
          </cell>
          <cell r="AE230" t="e">
            <v>#N/A</v>
          </cell>
          <cell r="AF230">
            <v>0</v>
          </cell>
          <cell r="AG230" t="e">
            <v>#N/A</v>
          </cell>
          <cell r="AH230" t="e">
            <v>#N/A</v>
          </cell>
          <cell r="AI230">
            <v>0</v>
          </cell>
          <cell r="AJ230">
            <v>0</v>
          </cell>
          <cell r="AK230" t="str">
            <v>solv.Less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</row>
        <row r="231">
          <cell r="K231" t="str">
            <v>SO24-2539</v>
          </cell>
          <cell r="L231" t="str">
            <v>2Minute Maaza VEG OUTER Rs.5/- (230MM/12/30)(R1)</v>
          </cell>
          <cell r="M231" t="str">
            <v>C24-2651</v>
          </cell>
          <cell r="O231" t="str">
            <v>BAL</v>
          </cell>
          <cell r="P231">
            <v>3000</v>
          </cell>
          <cell r="Q231">
            <v>1</v>
          </cell>
          <cell r="R231">
            <v>3000</v>
          </cell>
          <cell r="S231" t="str">
            <v>KG</v>
          </cell>
          <cell r="T231">
            <v>1145.8749999999998</v>
          </cell>
          <cell r="U231">
            <v>55.257510729613728</v>
          </cell>
          <cell r="V231" t="e">
            <v>#N/A</v>
          </cell>
          <cell r="W231" t="str">
            <v>KG</v>
          </cell>
          <cell r="X231">
            <v>0</v>
          </cell>
          <cell r="Y231">
            <v>0</v>
          </cell>
          <cell r="Z231">
            <v>1145.8749999999998</v>
          </cell>
          <cell r="AA231" t="str">
            <v>KG</v>
          </cell>
          <cell r="AB231">
            <v>55.257510729613728</v>
          </cell>
          <cell r="AC231">
            <v>1145.8749999999998</v>
          </cell>
          <cell r="AD231">
            <v>55.257510729613728</v>
          </cell>
          <cell r="AE231" t="e">
            <v>#N/A</v>
          </cell>
          <cell r="AF231">
            <v>0</v>
          </cell>
          <cell r="AG231" t="e">
            <v>#N/A</v>
          </cell>
          <cell r="AH231" t="e">
            <v>#N/A</v>
          </cell>
          <cell r="AI231">
            <v>0</v>
          </cell>
          <cell r="AJ231">
            <v>0</v>
          </cell>
          <cell r="AK231" t="str">
            <v>solv.Less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</row>
        <row r="232">
          <cell r="K232" t="str">
            <v>SO24-2452</v>
          </cell>
          <cell r="L232" t="str">
            <v>Monsut Root-x 1kg</v>
          </cell>
          <cell r="M232" t="str">
            <v>C24-2652</v>
          </cell>
          <cell r="O232" t="str">
            <v>BAL</v>
          </cell>
          <cell r="P232">
            <v>845</v>
          </cell>
          <cell r="Q232">
            <v>1</v>
          </cell>
          <cell r="R232">
            <v>845</v>
          </cell>
          <cell r="S232" t="str">
            <v>KG</v>
          </cell>
          <cell r="T232">
            <v>123.92496285289748</v>
          </cell>
          <cell r="U232">
            <v>11.365091971102119</v>
          </cell>
          <cell r="V232" t="e">
            <v>#N/A</v>
          </cell>
          <cell r="W232" t="str">
            <v>KG</v>
          </cell>
          <cell r="X232">
            <v>0</v>
          </cell>
          <cell r="Y232">
            <v>0</v>
          </cell>
          <cell r="Z232">
            <v>123.92496285289748</v>
          </cell>
          <cell r="AA232" t="str">
            <v>KG</v>
          </cell>
          <cell r="AB232">
            <v>11.365091971102119</v>
          </cell>
          <cell r="AC232">
            <v>123.92496285289748</v>
          </cell>
          <cell r="AD232">
            <v>11.365091971102119</v>
          </cell>
          <cell r="AE232" t="e">
            <v>#N/A</v>
          </cell>
          <cell r="AF232">
            <v>0</v>
          </cell>
          <cell r="AG232" t="e">
            <v>#N/A</v>
          </cell>
          <cell r="AH232" t="e">
            <v>#N/A</v>
          </cell>
          <cell r="AI232">
            <v>0</v>
          </cell>
          <cell r="AJ232">
            <v>0</v>
          </cell>
          <cell r="AK232" t="str">
            <v>solv.Less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</row>
        <row r="233">
          <cell r="K233" t="str">
            <v>SO24-2453</v>
          </cell>
          <cell r="L233" t="str">
            <v>Monsut Root-x 1kg (Bottom Gusset )</v>
          </cell>
          <cell r="M233" t="str">
            <v>C24-2653</v>
          </cell>
          <cell r="O233" t="str">
            <v>BAL</v>
          </cell>
          <cell r="P233">
            <v>155</v>
          </cell>
          <cell r="Q233">
            <v>1</v>
          </cell>
          <cell r="R233">
            <v>155</v>
          </cell>
          <cell r="S233" t="str">
            <v>KG</v>
          </cell>
          <cell r="T233">
            <v>20.940744920993229</v>
          </cell>
          <cell r="U233">
            <v>1.9285117577007167</v>
          </cell>
          <cell r="V233" t="e">
            <v>#N/A</v>
          </cell>
          <cell r="W233" t="str">
            <v>KG</v>
          </cell>
          <cell r="X233">
            <v>0</v>
          </cell>
          <cell r="Y233">
            <v>0</v>
          </cell>
          <cell r="Z233">
            <v>20.940744920993229</v>
          </cell>
          <cell r="AA233" t="str">
            <v>KG</v>
          </cell>
          <cell r="AB233">
            <v>1.9285117577007167</v>
          </cell>
          <cell r="AC233">
            <v>20.940744920993229</v>
          </cell>
          <cell r="AD233">
            <v>1.9285117577007167</v>
          </cell>
          <cell r="AE233" t="e">
            <v>#N/A</v>
          </cell>
          <cell r="AF233">
            <v>0</v>
          </cell>
          <cell r="AG233" t="e">
            <v>#N/A</v>
          </cell>
          <cell r="AH233" t="e">
            <v>#N/A</v>
          </cell>
          <cell r="AI233">
            <v>0</v>
          </cell>
          <cell r="AJ233">
            <v>0</v>
          </cell>
          <cell r="AK233" t="str">
            <v>solv.Less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</row>
        <row r="234">
          <cell r="K234" t="str">
            <v>SO24-2635</v>
          </cell>
          <cell r="L234" t="str">
            <v>Square One 440 Volt Rs.10/-(Wh ext)</v>
          </cell>
          <cell r="M234" t="str">
            <v>C24-2655</v>
          </cell>
          <cell r="O234" t="str">
            <v>BAL</v>
          </cell>
          <cell r="P234">
            <v>700</v>
          </cell>
          <cell r="Q234">
            <v>1</v>
          </cell>
          <cell r="R234">
            <v>700</v>
          </cell>
          <cell r="S234" t="str">
            <v>KG</v>
          </cell>
          <cell r="T234">
            <v>181.27260769483723</v>
          </cell>
          <cell r="U234">
            <v>11.790088305355267</v>
          </cell>
          <cell r="V234" t="e">
            <v>#N/A</v>
          </cell>
          <cell r="W234" t="str">
            <v>KG</v>
          </cell>
          <cell r="X234">
            <v>0</v>
          </cell>
          <cell r="Y234">
            <v>0</v>
          </cell>
          <cell r="Z234">
            <v>181.27260769483723</v>
          </cell>
          <cell r="AA234" t="str">
            <v>KG</v>
          </cell>
          <cell r="AB234">
            <v>11.790088305355267</v>
          </cell>
          <cell r="AC234">
            <v>181.27260769483723</v>
          </cell>
          <cell r="AD234">
            <v>11.790088305355267</v>
          </cell>
          <cell r="AE234" t="e">
            <v>#N/A</v>
          </cell>
          <cell r="AF234">
            <v>11.790088305355267</v>
          </cell>
          <cell r="AG234" t="e">
            <v>#N/A</v>
          </cell>
          <cell r="AH234" t="e">
            <v>#N/A</v>
          </cell>
          <cell r="AI234">
            <v>0</v>
          </cell>
          <cell r="AJ234">
            <v>0</v>
          </cell>
          <cell r="AK234" t="str">
            <v>Extrusion</v>
          </cell>
          <cell r="AL234">
            <v>466.54735284445906</v>
          </cell>
          <cell r="AM234">
            <v>0</v>
          </cell>
          <cell r="AN234">
            <v>0</v>
          </cell>
          <cell r="AO234">
            <v>0</v>
          </cell>
        </row>
        <row r="235">
          <cell r="K235" t="str">
            <v>SO24-2659</v>
          </cell>
          <cell r="L235" t="str">
            <v>ITC MARIELIGHT EAST 41 GM -[FPBI04215]</v>
          </cell>
          <cell r="M235" t="str">
            <v>C24-2657</v>
          </cell>
          <cell r="O235" t="str">
            <v>BAL</v>
          </cell>
          <cell r="P235">
            <v>6000</v>
          </cell>
          <cell r="Q235">
            <v>1</v>
          </cell>
          <cell r="R235">
            <v>6000</v>
          </cell>
          <cell r="S235" t="str">
            <v>KG</v>
          </cell>
          <cell r="T235">
            <v>2371.7054263565888</v>
          </cell>
          <cell r="U235">
            <v>160.35871713026293</v>
          </cell>
          <cell r="V235">
            <v>0</v>
          </cell>
          <cell r="W235" t="str">
            <v>KG</v>
          </cell>
          <cell r="X235">
            <v>0</v>
          </cell>
          <cell r="Y235">
            <v>0</v>
          </cell>
          <cell r="Z235">
            <v>2371.7054263565888</v>
          </cell>
          <cell r="AA235" t="str">
            <v>KG</v>
          </cell>
          <cell r="AB235">
            <v>160.35871713026293</v>
          </cell>
          <cell r="AC235">
            <v>2371.7054263565888</v>
          </cell>
          <cell r="AD235">
            <v>160.35871713026293</v>
          </cell>
          <cell r="AE235">
            <v>0.99</v>
          </cell>
          <cell r="AF235">
            <v>160.35871713026293</v>
          </cell>
          <cell r="AG235">
            <v>0</v>
          </cell>
          <cell r="AH235">
            <v>160.35871713026293</v>
          </cell>
          <cell r="AI235">
            <v>0</v>
          </cell>
          <cell r="AJ235">
            <v>0</v>
          </cell>
          <cell r="AK235" t="str">
            <v>Extrusion</v>
          </cell>
          <cell r="AL235">
            <v>6171.8317829457346</v>
          </cell>
          <cell r="AM235">
            <v>0</v>
          </cell>
          <cell r="AN235">
            <v>0</v>
          </cell>
          <cell r="AO235">
            <v>0</v>
          </cell>
        </row>
        <row r="236">
          <cell r="K236" t="str">
            <v>SO24-2638</v>
          </cell>
          <cell r="L236" t="str">
            <v>GOLAGHAT TEA SUPREME  RS 10/R1</v>
          </cell>
          <cell r="M236" t="str">
            <v>C24-2658</v>
          </cell>
          <cell r="O236" t="str">
            <v>BAL</v>
          </cell>
          <cell r="P236">
            <v>2000</v>
          </cell>
          <cell r="Q236">
            <v>1</v>
          </cell>
          <cell r="R236">
            <v>2000</v>
          </cell>
          <cell r="S236" t="str">
            <v>KG</v>
          </cell>
          <cell r="T236">
            <v>631.72859450726969</v>
          </cell>
          <cell r="U236">
            <v>37.129927971509922</v>
          </cell>
          <cell r="V236">
            <v>0</v>
          </cell>
          <cell r="W236" t="str">
            <v>KG</v>
          </cell>
          <cell r="X236">
            <v>0</v>
          </cell>
          <cell r="Y236">
            <v>0</v>
          </cell>
          <cell r="Z236">
            <v>631.72859450726969</v>
          </cell>
          <cell r="AA236" t="str">
            <v>KG</v>
          </cell>
          <cell r="AB236">
            <v>37.129927971509922</v>
          </cell>
          <cell r="AC236">
            <v>631.72859450726969</v>
          </cell>
          <cell r="AD236">
            <v>37.129927971509922</v>
          </cell>
          <cell r="AE236">
            <v>0.88800000000000001</v>
          </cell>
          <cell r="AF236">
            <v>0</v>
          </cell>
          <cell r="AG236">
            <v>0</v>
          </cell>
          <cell r="AH236">
            <v>74.259855943019843</v>
          </cell>
          <cell r="AI236">
            <v>0</v>
          </cell>
          <cell r="AJ236">
            <v>0</v>
          </cell>
          <cell r="AK236" t="str">
            <v>solv.Less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</row>
        <row r="237">
          <cell r="K237" t="str">
            <v>SO24-2639</v>
          </cell>
          <cell r="L237" t="str">
            <v>Golaghat Tea 100gm (R1)</v>
          </cell>
          <cell r="M237" t="str">
            <v>C24-2659</v>
          </cell>
          <cell r="O237" t="str">
            <v>BAL</v>
          </cell>
          <cell r="P237">
            <v>1000</v>
          </cell>
          <cell r="Q237">
            <v>1</v>
          </cell>
          <cell r="R237">
            <v>1000</v>
          </cell>
          <cell r="S237" t="str">
            <v>KG</v>
          </cell>
          <cell r="T237">
            <v>288.36363636363637</v>
          </cell>
          <cell r="U237">
            <v>19.334448782301546</v>
          </cell>
          <cell r="V237" t="e">
            <v>#N/A</v>
          </cell>
          <cell r="W237" t="str">
            <v>KG</v>
          </cell>
          <cell r="X237">
            <v>0</v>
          </cell>
          <cell r="Y237">
            <v>0</v>
          </cell>
          <cell r="Z237">
            <v>288.36363636363637</v>
          </cell>
          <cell r="AA237" t="str">
            <v>KG</v>
          </cell>
          <cell r="AB237">
            <v>19.334448782301546</v>
          </cell>
          <cell r="AC237">
            <v>288.36363636363637</v>
          </cell>
          <cell r="AD237">
            <v>19.334448782301546</v>
          </cell>
          <cell r="AE237" t="e">
            <v>#N/A</v>
          </cell>
          <cell r="AF237">
            <v>0</v>
          </cell>
          <cell r="AG237" t="e">
            <v>#N/A</v>
          </cell>
          <cell r="AH237" t="e">
            <v>#N/A</v>
          </cell>
          <cell r="AI237">
            <v>0</v>
          </cell>
          <cell r="AJ237">
            <v>0</v>
          </cell>
          <cell r="AK237" t="str">
            <v>solv.Less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</row>
        <row r="238">
          <cell r="K238" t="str">
            <v>SO24-2640</v>
          </cell>
          <cell r="L238" t="str">
            <v>Golaghat Tea 250g (R1)</v>
          </cell>
          <cell r="M238" t="str">
            <v>C24-2660</v>
          </cell>
          <cell r="O238" t="str">
            <v>BAL</v>
          </cell>
          <cell r="P238">
            <v>1000</v>
          </cell>
          <cell r="Q238">
            <v>1</v>
          </cell>
          <cell r="R238">
            <v>1000</v>
          </cell>
          <cell r="S238" t="str">
            <v>KG</v>
          </cell>
          <cell r="T238">
            <v>278.65300146412881</v>
          </cell>
          <cell r="U238">
            <v>21.59849641236514</v>
          </cell>
          <cell r="V238" t="e">
            <v>#N/A</v>
          </cell>
          <cell r="W238" t="str">
            <v>KG</v>
          </cell>
          <cell r="X238">
            <v>0</v>
          </cell>
          <cell r="Y238">
            <v>0</v>
          </cell>
          <cell r="Z238">
            <v>278.65300146412881</v>
          </cell>
          <cell r="AA238" t="str">
            <v>KG</v>
          </cell>
          <cell r="AB238">
            <v>21.59849641236514</v>
          </cell>
          <cell r="AC238">
            <v>278.65300146412881</v>
          </cell>
          <cell r="AD238">
            <v>21.59849641236514</v>
          </cell>
          <cell r="AE238" t="e">
            <v>#N/A</v>
          </cell>
          <cell r="AF238">
            <v>0</v>
          </cell>
          <cell r="AG238" t="e">
            <v>#N/A</v>
          </cell>
          <cell r="AH238" t="e">
            <v>#N/A</v>
          </cell>
          <cell r="AI238">
            <v>0</v>
          </cell>
          <cell r="AJ238">
            <v>0</v>
          </cell>
          <cell r="AK238" t="str">
            <v>solv.Less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</row>
        <row r="239">
          <cell r="K239" t="str">
            <v>SO24-2660</v>
          </cell>
          <cell r="L239" t="str">
            <v>BIKAJI SOYA STICKS MASALA MUNCH RS 5/-(220MM) R1</v>
          </cell>
          <cell r="M239" t="str">
            <v>C24-2661</v>
          </cell>
          <cell r="N239" t="str">
            <v>Transit-ESTER 27 NOV</v>
          </cell>
          <cell r="O239" t="str">
            <v>BAL</v>
          </cell>
          <cell r="P239">
            <v>3000</v>
          </cell>
          <cell r="Q239">
            <v>1</v>
          </cell>
          <cell r="R239">
            <v>3000</v>
          </cell>
          <cell r="S239" t="str">
            <v>KG</v>
          </cell>
          <cell r="T239">
            <v>906.98802976383035</v>
          </cell>
          <cell r="U239">
            <v>45.29278550630864</v>
          </cell>
          <cell r="V239" t="e">
            <v>#N/A</v>
          </cell>
          <cell r="W239" t="str">
            <v>KG</v>
          </cell>
          <cell r="X239">
            <v>0</v>
          </cell>
          <cell r="Y239">
            <v>0</v>
          </cell>
          <cell r="Z239">
            <v>906.98802976383035</v>
          </cell>
          <cell r="AA239" t="str">
            <v>KG</v>
          </cell>
          <cell r="AB239">
            <v>45.29278550630864</v>
          </cell>
          <cell r="AC239">
            <v>906.98802976383035</v>
          </cell>
          <cell r="AD239">
            <v>45.29278550630864</v>
          </cell>
          <cell r="AE239" t="e">
            <v>#N/A</v>
          </cell>
          <cell r="AF239">
            <v>45.29278550630864</v>
          </cell>
          <cell r="AG239" t="e">
            <v>#N/A</v>
          </cell>
          <cell r="AH239" t="e">
            <v>#N/A</v>
          </cell>
          <cell r="AI239">
            <v>0</v>
          </cell>
          <cell r="AJ239">
            <v>0</v>
          </cell>
          <cell r="AK239" t="str">
            <v>Extrusion</v>
          </cell>
          <cell r="AL239">
            <v>2016.5706890973795</v>
          </cell>
          <cell r="AM239">
            <v>0</v>
          </cell>
          <cell r="AN239">
            <v>0</v>
          </cell>
          <cell r="AO239">
            <v>0</v>
          </cell>
        </row>
        <row r="240">
          <cell r="K240" t="str">
            <v>SO24-2661</v>
          </cell>
          <cell r="L240" t="str">
            <v>BIKAJI SOYA STICKS MASALA MUNCH RS 10/-(290MM) R1</v>
          </cell>
          <cell r="M240" t="str">
            <v>C24-2662</v>
          </cell>
          <cell r="O240" t="str">
            <v>BAL</v>
          </cell>
          <cell r="P240">
            <v>2000</v>
          </cell>
          <cell r="Q240">
            <v>1</v>
          </cell>
          <cell r="R240">
            <v>2000</v>
          </cell>
          <cell r="S240" t="str">
            <v>KG</v>
          </cell>
          <cell r="T240">
            <v>509.5438369459722</v>
          </cell>
          <cell r="U240">
            <v>37.954848189644117</v>
          </cell>
          <cell r="V240" t="e">
            <v>#N/A</v>
          </cell>
          <cell r="W240" t="str">
            <v>KG</v>
          </cell>
          <cell r="X240">
            <v>0</v>
          </cell>
          <cell r="Y240">
            <v>0</v>
          </cell>
          <cell r="Z240">
            <v>509.5438369459722</v>
          </cell>
          <cell r="AA240" t="str">
            <v>KG</v>
          </cell>
          <cell r="AB240">
            <v>37.954848189644117</v>
          </cell>
          <cell r="AC240">
            <v>509.5438369459722</v>
          </cell>
          <cell r="AD240">
            <v>37.954848189644117</v>
          </cell>
          <cell r="AE240" t="e">
            <v>#N/A</v>
          </cell>
          <cell r="AF240">
            <v>37.954848189644117</v>
          </cell>
          <cell r="AG240" t="e">
            <v>#N/A</v>
          </cell>
          <cell r="AH240" t="e">
            <v>#N/A</v>
          </cell>
          <cell r="AI240">
            <v>0</v>
          </cell>
          <cell r="AJ240">
            <v>0</v>
          </cell>
          <cell r="AK240" t="str">
            <v>Extrusion</v>
          </cell>
          <cell r="AL240">
            <v>1344.3804593982532</v>
          </cell>
          <cell r="AM240">
            <v>0</v>
          </cell>
          <cell r="AN240">
            <v>0</v>
          </cell>
          <cell r="AO240">
            <v>0</v>
          </cell>
        </row>
        <row r="241">
          <cell r="K241" t="str">
            <v>SO24-2662</v>
          </cell>
          <cell r="L241" t="str">
            <v>Bikaji Soya Sticks Tomato Bite Rs.10(290mm)R1</v>
          </cell>
          <cell r="M241" t="str">
            <v>C24-2663</v>
          </cell>
          <cell r="O241" t="str">
            <v>BAL</v>
          </cell>
          <cell r="P241">
            <v>3000</v>
          </cell>
          <cell r="Q241">
            <v>1</v>
          </cell>
          <cell r="R241">
            <v>3000</v>
          </cell>
          <cell r="S241" t="str">
            <v>KG</v>
          </cell>
          <cell r="T241">
            <v>764.31575541895825</v>
          </cell>
          <cell r="U241">
            <v>56.932272284466166</v>
          </cell>
          <cell r="V241" t="e">
            <v>#N/A</v>
          </cell>
          <cell r="W241" t="str">
            <v>KG</v>
          </cell>
          <cell r="X241">
            <v>0</v>
          </cell>
          <cell r="Y241">
            <v>0</v>
          </cell>
          <cell r="Z241">
            <v>764.31575541895825</v>
          </cell>
          <cell r="AA241" t="str">
            <v>KG</v>
          </cell>
          <cell r="AB241">
            <v>56.932272284466166</v>
          </cell>
          <cell r="AC241">
            <v>764.31575541895825</v>
          </cell>
          <cell r="AD241">
            <v>56.932272284466166</v>
          </cell>
          <cell r="AE241" t="e">
            <v>#N/A</v>
          </cell>
          <cell r="AF241">
            <v>56.932272284466166</v>
          </cell>
          <cell r="AG241" t="e">
            <v>#N/A</v>
          </cell>
          <cell r="AH241" t="e">
            <v>#N/A</v>
          </cell>
          <cell r="AI241">
            <v>0</v>
          </cell>
          <cell r="AJ241">
            <v>0</v>
          </cell>
          <cell r="AK241" t="str">
            <v>Extrusion</v>
          </cell>
          <cell r="AL241">
            <v>2016.5706890973795</v>
          </cell>
          <cell r="AM241">
            <v>0</v>
          </cell>
          <cell r="AN241">
            <v>0</v>
          </cell>
          <cell r="AO241">
            <v>0</v>
          </cell>
        </row>
        <row r="242">
          <cell r="K242" t="str">
            <v>SO24-2663</v>
          </cell>
          <cell r="L242" t="str">
            <v>BIKAJI KURRAM KURRAM RS-5 (290MM K6)R1</v>
          </cell>
          <cell r="M242" t="str">
            <v>C24-2664</v>
          </cell>
          <cell r="O242" t="str">
            <v>BAL</v>
          </cell>
          <cell r="P242">
            <v>1500</v>
          </cell>
          <cell r="Q242">
            <v>1</v>
          </cell>
          <cell r="R242">
            <v>1500</v>
          </cell>
          <cell r="S242" t="str">
            <v>KG</v>
          </cell>
          <cell r="T242">
            <v>382.15787770947912</v>
          </cell>
          <cell r="U242">
            <v>28.466136142233083</v>
          </cell>
          <cell r="V242" t="e">
            <v>#N/A</v>
          </cell>
          <cell r="W242" t="str">
            <v>KG</v>
          </cell>
          <cell r="X242">
            <v>0</v>
          </cell>
          <cell r="Y242">
            <v>0</v>
          </cell>
          <cell r="Z242">
            <v>382.15787770947912</v>
          </cell>
          <cell r="AA242" t="str">
            <v>KG</v>
          </cell>
          <cell r="AB242">
            <v>28.466136142233083</v>
          </cell>
          <cell r="AC242">
            <v>382.15787770947912</v>
          </cell>
          <cell r="AD242">
            <v>28.466136142233083</v>
          </cell>
          <cell r="AE242" t="e">
            <v>#N/A</v>
          </cell>
          <cell r="AF242">
            <v>28.466136142233083</v>
          </cell>
          <cell r="AG242" t="e">
            <v>#N/A</v>
          </cell>
          <cell r="AH242" t="e">
            <v>#N/A</v>
          </cell>
          <cell r="AI242">
            <v>0</v>
          </cell>
          <cell r="AJ242">
            <v>0</v>
          </cell>
          <cell r="AK242" t="str">
            <v>Extrusion</v>
          </cell>
          <cell r="AL242">
            <v>1008.2853445486897</v>
          </cell>
          <cell r="AM242">
            <v>0</v>
          </cell>
          <cell r="AN242">
            <v>0</v>
          </cell>
          <cell r="AO242">
            <v>0</v>
          </cell>
        </row>
        <row r="243">
          <cell r="K243" t="str">
            <v>SO24-2664</v>
          </cell>
          <cell r="L243" t="str">
            <v>Bikaji Potato Chips Classic Salted Rs.5/(290mm) R2</v>
          </cell>
          <cell r="M243" t="str">
            <v>C24-2665</v>
          </cell>
          <cell r="O243" t="str">
            <v>BAL</v>
          </cell>
          <cell r="P243">
            <v>2000</v>
          </cell>
          <cell r="Q243">
            <v>1</v>
          </cell>
          <cell r="R243">
            <v>2000</v>
          </cell>
          <cell r="S243" t="str">
            <v>KG</v>
          </cell>
          <cell r="T243">
            <v>509.5438369459722</v>
          </cell>
          <cell r="U243">
            <v>37.954848189644117</v>
          </cell>
          <cell r="V243" t="e">
            <v>#N/A</v>
          </cell>
          <cell r="W243" t="str">
            <v>KG</v>
          </cell>
          <cell r="X243">
            <v>0</v>
          </cell>
          <cell r="Y243">
            <v>0</v>
          </cell>
          <cell r="Z243">
            <v>509.5438369459722</v>
          </cell>
          <cell r="AA243" t="str">
            <v>KG</v>
          </cell>
          <cell r="AB243">
            <v>37.954848189644117</v>
          </cell>
          <cell r="AC243">
            <v>509.5438369459722</v>
          </cell>
          <cell r="AD243">
            <v>37.954848189644117</v>
          </cell>
          <cell r="AE243" t="e">
            <v>#N/A</v>
          </cell>
          <cell r="AF243">
            <v>37.954848189644117</v>
          </cell>
          <cell r="AG243" t="e">
            <v>#N/A</v>
          </cell>
          <cell r="AH243" t="e">
            <v>#N/A</v>
          </cell>
          <cell r="AI243">
            <v>0</v>
          </cell>
          <cell r="AJ243">
            <v>0</v>
          </cell>
          <cell r="AK243" t="str">
            <v>Extrusion</v>
          </cell>
          <cell r="AL243">
            <v>1344.3804593982532</v>
          </cell>
          <cell r="AM243">
            <v>0</v>
          </cell>
          <cell r="AN243">
            <v>0</v>
          </cell>
          <cell r="AO243">
            <v>0</v>
          </cell>
        </row>
        <row r="244">
          <cell r="K244" t="str">
            <v>SO24-2665</v>
          </cell>
          <cell r="L244" t="str">
            <v>Bikaji Potato Chips Mast Masala 5/-(R1)</v>
          </cell>
          <cell r="M244" t="str">
            <v>C24-2666</v>
          </cell>
          <cell r="O244" t="str">
            <v>BAL</v>
          </cell>
          <cell r="P244">
            <v>1000</v>
          </cell>
          <cell r="Q244">
            <v>1</v>
          </cell>
          <cell r="R244">
            <v>1000</v>
          </cell>
          <cell r="S244" t="str">
            <v>KG</v>
          </cell>
          <cell r="T244">
            <v>254.7719184729861</v>
          </cell>
          <cell r="U244">
            <v>18.977424094822059</v>
          </cell>
          <cell r="V244" t="e">
            <v>#N/A</v>
          </cell>
          <cell r="W244" t="str">
            <v>KG</v>
          </cell>
          <cell r="X244">
            <v>0</v>
          </cell>
          <cell r="Y244">
            <v>0</v>
          </cell>
          <cell r="Z244">
            <v>254.7719184729861</v>
          </cell>
          <cell r="AA244" t="str">
            <v>KG</v>
          </cell>
          <cell r="AB244">
            <v>18.977424094822059</v>
          </cell>
          <cell r="AC244">
            <v>254.7719184729861</v>
          </cell>
          <cell r="AD244">
            <v>18.977424094822059</v>
          </cell>
          <cell r="AE244" t="e">
            <v>#N/A</v>
          </cell>
          <cell r="AF244">
            <v>18.977424094822059</v>
          </cell>
          <cell r="AG244" t="e">
            <v>#N/A</v>
          </cell>
          <cell r="AH244" t="e">
            <v>#N/A</v>
          </cell>
          <cell r="AI244">
            <v>0</v>
          </cell>
          <cell r="AJ244">
            <v>0</v>
          </cell>
          <cell r="AK244" t="str">
            <v>Extrusion</v>
          </cell>
          <cell r="AL244">
            <v>672.19022969912658</v>
          </cell>
          <cell r="AM244">
            <v>0</v>
          </cell>
          <cell r="AN244">
            <v>0</v>
          </cell>
          <cell r="AO244">
            <v>0</v>
          </cell>
        </row>
        <row r="245">
          <cell r="K245" t="str">
            <v>SO24-2667</v>
          </cell>
          <cell r="L245" t="str">
            <v>Bikaji Moong Dall Rs.10(240mm)NEW K6</v>
          </cell>
          <cell r="M245" t="str">
            <v>C24-2668</v>
          </cell>
          <cell r="O245" t="str">
            <v>BAL</v>
          </cell>
          <cell r="P245">
            <v>2000</v>
          </cell>
          <cell r="Q245">
            <v>1</v>
          </cell>
          <cell r="R245">
            <v>2000</v>
          </cell>
          <cell r="S245" t="str">
            <v>KG</v>
          </cell>
          <cell r="T245">
            <v>509.5438369459722</v>
          </cell>
          <cell r="U245">
            <v>34.486892517493885</v>
          </cell>
          <cell r="V245" t="e">
            <v>#N/A</v>
          </cell>
          <cell r="W245" t="str">
            <v>KG</v>
          </cell>
          <cell r="X245">
            <v>0</v>
          </cell>
          <cell r="Y245">
            <v>0</v>
          </cell>
          <cell r="Z245">
            <v>509.5438369459722</v>
          </cell>
          <cell r="AA245" t="str">
            <v>KG</v>
          </cell>
          <cell r="AB245">
            <v>34.486892517493885</v>
          </cell>
          <cell r="AC245">
            <v>509.5438369459722</v>
          </cell>
          <cell r="AD245">
            <v>34.486892517493885</v>
          </cell>
          <cell r="AE245" t="e">
            <v>#N/A</v>
          </cell>
          <cell r="AF245">
            <v>34.486892517493885</v>
          </cell>
          <cell r="AG245" t="e">
            <v>#N/A</v>
          </cell>
          <cell r="AH245" t="e">
            <v>#N/A</v>
          </cell>
          <cell r="AI245">
            <v>0</v>
          </cell>
          <cell r="AJ245">
            <v>0</v>
          </cell>
          <cell r="AK245" t="str">
            <v>Extrusion</v>
          </cell>
          <cell r="AL245">
            <v>1344.3804593982527</v>
          </cell>
          <cell r="AM245">
            <v>0</v>
          </cell>
          <cell r="AN245">
            <v>0</v>
          </cell>
          <cell r="AO245">
            <v>0</v>
          </cell>
        </row>
        <row r="246">
          <cell r="K246" t="str">
            <v>SO24-2668</v>
          </cell>
          <cell r="L246" t="str">
            <v>Bikaji Moong Dall  200GM(290mm) R1 K6</v>
          </cell>
          <cell r="M246" t="str">
            <v>C24-2669</v>
          </cell>
          <cell r="O246" t="str">
            <v>BAL</v>
          </cell>
          <cell r="P246">
            <v>1000</v>
          </cell>
          <cell r="Q246">
            <v>1</v>
          </cell>
          <cell r="R246">
            <v>1000</v>
          </cell>
          <cell r="S246" t="str">
            <v>KG</v>
          </cell>
          <cell r="T246">
            <v>221.51898734177217</v>
          </cell>
          <cell r="U246">
            <v>16.500483228437407</v>
          </cell>
          <cell r="V246" t="e">
            <v>#N/A</v>
          </cell>
          <cell r="W246" t="str">
            <v>KG</v>
          </cell>
          <cell r="X246">
            <v>0</v>
          </cell>
          <cell r="Y246">
            <v>0</v>
          </cell>
          <cell r="Z246">
            <v>221.51898734177217</v>
          </cell>
          <cell r="AA246" t="str">
            <v>KG</v>
          </cell>
          <cell r="AB246">
            <v>16.500483228437407</v>
          </cell>
          <cell r="AC246">
            <v>221.51898734177217</v>
          </cell>
          <cell r="AD246">
            <v>16.500483228437407</v>
          </cell>
          <cell r="AE246" t="e">
            <v>#N/A</v>
          </cell>
          <cell r="AF246">
            <v>16.500483228437407</v>
          </cell>
          <cell r="AG246" t="e">
            <v>#N/A</v>
          </cell>
          <cell r="AH246" t="e">
            <v>#N/A</v>
          </cell>
          <cell r="AI246">
            <v>0</v>
          </cell>
          <cell r="AJ246">
            <v>0</v>
          </cell>
          <cell r="AK246" t="str">
            <v>Extrusion</v>
          </cell>
          <cell r="AL246">
            <v>598.78059071729967</v>
          </cell>
          <cell r="AM246">
            <v>0</v>
          </cell>
          <cell r="AN246">
            <v>0</v>
          </cell>
          <cell r="AO246">
            <v>0</v>
          </cell>
        </row>
        <row r="247">
          <cell r="K247" t="str">
            <v>SO24-2669</v>
          </cell>
          <cell r="L247" t="str">
            <v>BIKAJI TANA TAN ALOO BHUJIA Rs.5(205MM) K6</v>
          </cell>
          <cell r="M247" t="str">
            <v>C24-2670</v>
          </cell>
          <cell r="O247" t="str">
            <v>BAL</v>
          </cell>
          <cell r="P247">
            <v>3000</v>
          </cell>
          <cell r="Q247">
            <v>1</v>
          </cell>
          <cell r="R247">
            <v>3000</v>
          </cell>
          <cell r="S247" t="str">
            <v>KG</v>
          </cell>
          <cell r="T247">
            <v>764.31575541895825</v>
          </cell>
          <cell r="U247">
            <v>48.527984471044967</v>
          </cell>
          <cell r="V247" t="e">
            <v>#N/A</v>
          </cell>
          <cell r="W247" t="str">
            <v>KG</v>
          </cell>
          <cell r="X247">
            <v>0</v>
          </cell>
          <cell r="Y247">
            <v>0</v>
          </cell>
          <cell r="Z247">
            <v>764.31575541895825</v>
          </cell>
          <cell r="AA247" t="str">
            <v>KG</v>
          </cell>
          <cell r="AB247">
            <v>48.527984471044967</v>
          </cell>
          <cell r="AC247">
            <v>764.31575541895825</v>
          </cell>
          <cell r="AD247">
            <v>48.527984471044967</v>
          </cell>
          <cell r="AE247" t="e">
            <v>#N/A</v>
          </cell>
          <cell r="AF247">
            <v>48.527984471044967</v>
          </cell>
          <cell r="AG247" t="e">
            <v>#N/A</v>
          </cell>
          <cell r="AH247" t="e">
            <v>#N/A</v>
          </cell>
          <cell r="AI247">
            <v>0</v>
          </cell>
          <cell r="AJ247">
            <v>0</v>
          </cell>
          <cell r="AK247" t="str">
            <v>Extrusion</v>
          </cell>
          <cell r="AL247">
            <v>2016.570689097379</v>
          </cell>
          <cell r="AM247">
            <v>0</v>
          </cell>
          <cell r="AN247">
            <v>0</v>
          </cell>
          <cell r="AO247">
            <v>0</v>
          </cell>
        </row>
        <row r="248">
          <cell r="K248" t="str">
            <v>SO24-2670</v>
          </cell>
          <cell r="L248" t="str">
            <v>BIKAJI TANA TAN ALOO BHUJIA 200Gm (320mm) R1</v>
          </cell>
          <cell r="M248" t="str">
            <v>C24-2671</v>
          </cell>
          <cell r="O248" t="str">
            <v>BAL</v>
          </cell>
          <cell r="P248">
            <v>1000</v>
          </cell>
          <cell r="Q248">
            <v>1</v>
          </cell>
          <cell r="R248">
            <v>1000</v>
          </cell>
          <cell r="S248" t="str">
            <v>KG</v>
          </cell>
          <cell r="T248">
            <v>221.51898734177217</v>
          </cell>
          <cell r="U248">
            <v>14.992824862387288</v>
          </cell>
          <cell r="V248" t="e">
            <v>#N/A</v>
          </cell>
          <cell r="W248" t="str">
            <v>KG</v>
          </cell>
          <cell r="X248">
            <v>0</v>
          </cell>
          <cell r="Y248">
            <v>0</v>
          </cell>
          <cell r="Z248">
            <v>221.51898734177217</v>
          </cell>
          <cell r="AA248" t="str">
            <v>KG</v>
          </cell>
          <cell r="AB248">
            <v>14.992824862387288</v>
          </cell>
          <cell r="AC248">
            <v>221.51898734177217</v>
          </cell>
          <cell r="AD248">
            <v>14.992824862387288</v>
          </cell>
          <cell r="AE248" t="e">
            <v>#N/A</v>
          </cell>
          <cell r="AF248">
            <v>14.992824862387288</v>
          </cell>
          <cell r="AG248" t="e">
            <v>#N/A</v>
          </cell>
          <cell r="AH248" t="e">
            <v>#N/A</v>
          </cell>
          <cell r="AI248">
            <v>0</v>
          </cell>
          <cell r="AJ248">
            <v>0</v>
          </cell>
          <cell r="AK248" t="str">
            <v>Extrusion</v>
          </cell>
          <cell r="AL248">
            <v>598.78059071729956</v>
          </cell>
          <cell r="AM248">
            <v>0</v>
          </cell>
          <cell r="AN248">
            <v>0</v>
          </cell>
          <cell r="AO248">
            <v>0</v>
          </cell>
        </row>
        <row r="249">
          <cell r="K249" t="str">
            <v>SO24-2671</v>
          </cell>
          <cell r="L249" t="str">
            <v>BIKAJI CHATPATA MATAR RS 5/- (205MM)NEW</v>
          </cell>
          <cell r="M249" t="str">
            <v>C24-2672</v>
          </cell>
          <cell r="O249" t="str">
            <v>BAL</v>
          </cell>
          <cell r="P249">
            <v>1000</v>
          </cell>
          <cell r="Q249">
            <v>1</v>
          </cell>
          <cell r="R249">
            <v>1000</v>
          </cell>
          <cell r="S249" t="str">
            <v>KG</v>
          </cell>
          <cell r="T249">
            <v>254.7719184729861</v>
          </cell>
          <cell r="U249">
            <v>16.175994823681656</v>
          </cell>
          <cell r="V249" t="e">
            <v>#N/A</v>
          </cell>
          <cell r="W249" t="str">
            <v>KG</v>
          </cell>
          <cell r="X249">
            <v>0</v>
          </cell>
          <cell r="Y249">
            <v>0</v>
          </cell>
          <cell r="Z249">
            <v>254.7719184729861</v>
          </cell>
          <cell r="AA249" t="str">
            <v>KG</v>
          </cell>
          <cell r="AB249">
            <v>16.175994823681656</v>
          </cell>
          <cell r="AC249">
            <v>254.7719184729861</v>
          </cell>
          <cell r="AD249">
            <v>16.175994823681656</v>
          </cell>
          <cell r="AE249" t="e">
            <v>#N/A</v>
          </cell>
          <cell r="AF249">
            <v>16.175994823681656</v>
          </cell>
          <cell r="AG249" t="e">
            <v>#N/A</v>
          </cell>
          <cell r="AH249" t="e">
            <v>#N/A</v>
          </cell>
          <cell r="AI249">
            <v>0</v>
          </cell>
          <cell r="AJ249">
            <v>0</v>
          </cell>
          <cell r="AK249" t="str">
            <v>Extrusion</v>
          </cell>
          <cell r="AL249">
            <v>659.01002911679063</v>
          </cell>
          <cell r="AM249">
            <v>0</v>
          </cell>
          <cell r="AN249">
            <v>0</v>
          </cell>
          <cell r="AO249">
            <v>0</v>
          </cell>
        </row>
        <row r="250">
          <cell r="K250" t="str">
            <v>SO24-2672</v>
          </cell>
          <cell r="L250" t="str">
            <v>Bikaji Lite Jhalmuri Rs.5/-(240mm) R1</v>
          </cell>
          <cell r="M250" t="str">
            <v>C24-2673</v>
          </cell>
          <cell r="O250" t="str">
            <v>BAL</v>
          </cell>
          <cell r="P250">
            <v>7000</v>
          </cell>
          <cell r="Q250">
            <v>1</v>
          </cell>
          <cell r="R250">
            <v>7000</v>
          </cell>
          <cell r="S250" t="str">
            <v>KG</v>
          </cell>
          <cell r="T250">
            <v>1783.4034293109025</v>
          </cell>
          <cell r="U250">
            <v>120.7041238112286</v>
          </cell>
          <cell r="V250" t="e">
            <v>#N/A</v>
          </cell>
          <cell r="W250" t="str">
            <v>KG</v>
          </cell>
          <cell r="X250">
            <v>0</v>
          </cell>
          <cell r="Y250">
            <v>0</v>
          </cell>
          <cell r="Z250">
            <v>1783.4034293109025</v>
          </cell>
          <cell r="AA250" t="str">
            <v>KG</v>
          </cell>
          <cell r="AB250">
            <v>120.7041238112286</v>
          </cell>
          <cell r="AC250">
            <v>1783.4034293109025</v>
          </cell>
          <cell r="AD250">
            <v>120.7041238112286</v>
          </cell>
          <cell r="AE250" t="e">
            <v>#N/A</v>
          </cell>
          <cell r="AF250">
            <v>120.7041238112286</v>
          </cell>
          <cell r="AG250" t="e">
            <v>#N/A</v>
          </cell>
          <cell r="AH250" t="e">
            <v>#N/A</v>
          </cell>
          <cell r="AI250">
            <v>0</v>
          </cell>
          <cell r="AJ250">
            <v>0</v>
          </cell>
          <cell r="AK250" t="str">
            <v>Extrusion</v>
          </cell>
          <cell r="AL250">
            <v>4705.3316078938851</v>
          </cell>
          <cell r="AM250">
            <v>0</v>
          </cell>
          <cell r="AN250">
            <v>0</v>
          </cell>
          <cell r="AO250">
            <v>0</v>
          </cell>
        </row>
        <row r="251">
          <cell r="K251" t="str">
            <v>SO24-2673</v>
          </cell>
          <cell r="L251" t="str">
            <v>Bikaji Lite Jhalmuri Rs.10/-(265mm) R1</v>
          </cell>
          <cell r="M251" t="str">
            <v>C24-2674</v>
          </cell>
          <cell r="O251" t="str">
            <v>BAL</v>
          </cell>
          <cell r="P251">
            <v>2000</v>
          </cell>
          <cell r="Q251">
            <v>1</v>
          </cell>
          <cell r="R251">
            <v>2000</v>
          </cell>
          <cell r="S251" t="str">
            <v>KG</v>
          </cell>
          <cell r="T251">
            <v>493.57568160451268</v>
          </cell>
          <cell r="U251">
            <v>30.327230820553776</v>
          </cell>
          <cell r="V251" t="e">
            <v>#N/A</v>
          </cell>
          <cell r="W251" t="str">
            <v>KG</v>
          </cell>
          <cell r="X251">
            <v>0</v>
          </cell>
          <cell r="Y251">
            <v>0</v>
          </cell>
          <cell r="Z251">
            <v>493.57568160451268</v>
          </cell>
          <cell r="AA251" t="str">
            <v>KG</v>
          </cell>
          <cell r="AB251">
            <v>30.327230820553776</v>
          </cell>
          <cell r="AC251">
            <v>493.57568160451268</v>
          </cell>
          <cell r="AD251">
            <v>30.327230820553776</v>
          </cell>
          <cell r="AE251" t="e">
            <v>#N/A</v>
          </cell>
          <cell r="AF251">
            <v>30.327230820553776</v>
          </cell>
          <cell r="AG251" t="e">
            <v>#N/A</v>
          </cell>
          <cell r="AH251" t="e">
            <v>#N/A</v>
          </cell>
          <cell r="AI251">
            <v>0</v>
          </cell>
          <cell r="AJ251">
            <v>0</v>
          </cell>
          <cell r="AK251" t="str">
            <v>Extrusion</v>
          </cell>
          <cell r="AL251">
            <v>1372.4694453149484</v>
          </cell>
          <cell r="AM251">
            <v>0</v>
          </cell>
          <cell r="AN251">
            <v>0</v>
          </cell>
          <cell r="AO251">
            <v>0</v>
          </cell>
        </row>
        <row r="252">
          <cell r="K252" t="str">
            <v>SO24-2675</v>
          </cell>
          <cell r="L252" t="str">
            <v>Bikaji Navrattan Mix Sub Kuch Rs 10/-(240MM)54Gsm R1</v>
          </cell>
          <cell r="M252" t="str">
            <v>C24-2676</v>
          </cell>
          <cell r="O252" t="str">
            <v>BAL</v>
          </cell>
          <cell r="P252">
            <v>1000</v>
          </cell>
          <cell r="Q252">
            <v>1</v>
          </cell>
          <cell r="R252">
            <v>1000</v>
          </cell>
          <cell r="S252" t="str">
            <v>KG</v>
          </cell>
          <cell r="T252">
            <v>254.7719184729861</v>
          </cell>
          <cell r="U252">
            <v>17.243446258746943</v>
          </cell>
          <cell r="V252" t="e">
            <v>#N/A</v>
          </cell>
          <cell r="W252" t="str">
            <v>KG</v>
          </cell>
          <cell r="X252">
            <v>0</v>
          </cell>
          <cell r="Y252">
            <v>0</v>
          </cell>
          <cell r="Z252">
            <v>254.7719184729861</v>
          </cell>
          <cell r="AA252" t="str">
            <v>KG</v>
          </cell>
          <cell r="AB252">
            <v>17.243446258746943</v>
          </cell>
          <cell r="AC252">
            <v>254.7719184729861</v>
          </cell>
          <cell r="AD252">
            <v>17.243446258746943</v>
          </cell>
          <cell r="AE252" t="e">
            <v>#N/A</v>
          </cell>
          <cell r="AF252">
            <v>17.243446258746943</v>
          </cell>
          <cell r="AG252" t="e">
            <v>#N/A</v>
          </cell>
          <cell r="AH252" t="e">
            <v>#N/A</v>
          </cell>
          <cell r="AI252">
            <v>0</v>
          </cell>
          <cell r="AJ252">
            <v>0</v>
          </cell>
          <cell r="AK252" t="str">
            <v>Extrusion</v>
          </cell>
          <cell r="AL252">
            <v>672.19022969912635</v>
          </cell>
          <cell r="AM252">
            <v>0</v>
          </cell>
          <cell r="AN252">
            <v>0</v>
          </cell>
          <cell r="AO252">
            <v>0</v>
          </cell>
        </row>
        <row r="253">
          <cell r="K253" t="str">
            <v>SO24-2677</v>
          </cell>
          <cell r="L253" t="str">
            <v>Bikaji Soya Sticks Tomato Bite Rs.5(220mm) R1</v>
          </cell>
          <cell r="M253" t="str">
            <v>C24-2678</v>
          </cell>
          <cell r="N253" t="str">
            <v>Transit-ESTER 27 NOV</v>
          </cell>
          <cell r="O253" t="str">
            <v>BAL</v>
          </cell>
          <cell r="P253">
            <v>12000</v>
          </cell>
          <cell r="Q253">
            <v>1</v>
          </cell>
          <cell r="R253">
            <v>12000</v>
          </cell>
          <cell r="S253" t="str">
            <v>KG</v>
          </cell>
          <cell r="T253">
            <v>3057.263021675833</v>
          </cell>
          <cell r="U253">
            <v>181.17114202523456</v>
          </cell>
          <cell r="V253" t="e">
            <v>#N/A</v>
          </cell>
          <cell r="W253" t="str">
            <v>KG</v>
          </cell>
          <cell r="X253">
            <v>3070</v>
          </cell>
          <cell r="Y253">
            <v>181.92592592592592</v>
          </cell>
          <cell r="Z253">
            <v>0</v>
          </cell>
          <cell r="AA253" t="str">
            <v>KG</v>
          </cell>
          <cell r="AB253">
            <v>0</v>
          </cell>
          <cell r="AC253">
            <v>3057.263021675833</v>
          </cell>
          <cell r="AD253">
            <v>181.17114202523456</v>
          </cell>
          <cell r="AE253" t="e">
            <v>#N/A</v>
          </cell>
          <cell r="AF253">
            <v>0</v>
          </cell>
          <cell r="AG253" t="e">
            <v>#N/A</v>
          </cell>
          <cell r="AH253" t="e">
            <v>#N/A</v>
          </cell>
          <cell r="AI253">
            <v>0</v>
          </cell>
          <cell r="AJ253">
            <v>3070</v>
          </cell>
          <cell r="AK253" t="str">
            <v>Extrusion</v>
          </cell>
          <cell r="AL253">
            <v>8066.282756389518</v>
          </cell>
          <cell r="AM253">
            <v>0</v>
          </cell>
          <cell r="AN253">
            <v>0</v>
          </cell>
          <cell r="AO253">
            <v>0</v>
          </cell>
        </row>
        <row r="254">
          <cell r="K254" t="str">
            <v>SO24-2678</v>
          </cell>
          <cell r="L254" t="str">
            <v>Bikaji Chips Cream Onion Rs.5/-R1 (290mm)</v>
          </cell>
          <cell r="M254" t="str">
            <v>C24-2679</v>
          </cell>
          <cell r="O254" t="str">
            <v>BAL</v>
          </cell>
          <cell r="P254">
            <v>4000</v>
          </cell>
          <cell r="Q254">
            <v>1</v>
          </cell>
          <cell r="R254">
            <v>4000</v>
          </cell>
          <cell r="S254" t="str">
            <v>KG</v>
          </cell>
          <cell r="T254">
            <v>1019.0876738919444</v>
          </cell>
          <cell r="U254">
            <v>75.909696379288235</v>
          </cell>
          <cell r="V254" t="e">
            <v>#N/A</v>
          </cell>
          <cell r="W254" t="str">
            <v>KG</v>
          </cell>
          <cell r="X254">
            <v>0</v>
          </cell>
          <cell r="Y254">
            <v>0</v>
          </cell>
          <cell r="Z254">
            <v>1019.0876738919444</v>
          </cell>
          <cell r="AA254" t="str">
            <v>KG</v>
          </cell>
          <cell r="AB254">
            <v>75.909696379288235</v>
          </cell>
          <cell r="AC254">
            <v>1019.0876738919444</v>
          </cell>
          <cell r="AD254">
            <v>75.909696379288235</v>
          </cell>
          <cell r="AE254" t="e">
            <v>#N/A</v>
          </cell>
          <cell r="AF254">
            <v>75.909696379288235</v>
          </cell>
          <cell r="AG254" t="e">
            <v>#N/A</v>
          </cell>
          <cell r="AH254" t="e">
            <v>#N/A</v>
          </cell>
          <cell r="AI254">
            <v>0</v>
          </cell>
          <cell r="AJ254">
            <v>0</v>
          </cell>
          <cell r="AK254" t="str">
            <v>Extrusion</v>
          </cell>
          <cell r="AL254">
            <v>2688.7609187965063</v>
          </cell>
          <cell r="AM254">
            <v>0</v>
          </cell>
          <cell r="AN254">
            <v>0</v>
          </cell>
          <cell r="AO254">
            <v>0</v>
          </cell>
        </row>
        <row r="255">
          <cell r="K255" t="str">
            <v>SO24-2689</v>
          </cell>
          <cell r="L255" t="str">
            <v>BR- TTA/TTP 100- TCPL(700mmX53mic)(20000000004821) R1</v>
          </cell>
          <cell r="M255" t="str">
            <v>C24-2693</v>
          </cell>
          <cell r="O255" t="str">
            <v>BAL</v>
          </cell>
          <cell r="P255">
            <v>700</v>
          </cell>
          <cell r="Q255">
            <v>1</v>
          </cell>
          <cell r="R255">
            <v>700</v>
          </cell>
          <cell r="S255" t="str">
            <v>KG</v>
          </cell>
          <cell r="T255">
            <v>742</v>
          </cell>
          <cell r="U255">
            <v>21.301883867411561</v>
          </cell>
          <cell r="V255" t="e">
            <v>#N/A</v>
          </cell>
          <cell r="W255" t="str">
            <v>KG</v>
          </cell>
          <cell r="X255">
            <v>0</v>
          </cell>
          <cell r="Y255">
            <v>0</v>
          </cell>
          <cell r="Z255">
            <v>742</v>
          </cell>
          <cell r="AA255" t="str">
            <v>KG</v>
          </cell>
          <cell r="AB255">
            <v>21.301883867411561</v>
          </cell>
          <cell r="AC255">
            <v>742</v>
          </cell>
          <cell r="AD255">
            <v>21.301883867411561</v>
          </cell>
          <cell r="AE255" t="e">
            <v>#N/A</v>
          </cell>
          <cell r="AF255">
            <v>0</v>
          </cell>
          <cell r="AG255" t="e">
            <v>#N/A</v>
          </cell>
          <cell r="AH255" t="e">
            <v>#N/A</v>
          </cell>
          <cell r="AI255">
            <v>0</v>
          </cell>
          <cell r="AJ255">
            <v>0</v>
          </cell>
          <cell r="AK255" t="str">
            <v>Slitting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</row>
        <row r="256">
          <cell r="K256" t="str">
            <v>SO24-2690</v>
          </cell>
          <cell r="L256" t="str">
            <v>Bundling Roll Tata Tea Premium Rs-5/- Buff(410mmX53mic)(4255)R1</v>
          </cell>
          <cell r="M256" t="str">
            <v>C24-2694</v>
          </cell>
          <cell r="O256" t="str">
            <v>BAL</v>
          </cell>
          <cell r="P256">
            <v>1000</v>
          </cell>
          <cell r="Q256">
            <v>1</v>
          </cell>
          <cell r="R256">
            <v>1000</v>
          </cell>
          <cell r="S256" t="str">
            <v>KG</v>
          </cell>
          <cell r="T256">
            <v>1060</v>
          </cell>
          <cell r="U256">
            <v>26.031562041070927</v>
          </cell>
          <cell r="V256" t="e">
            <v>#N/A</v>
          </cell>
          <cell r="W256" t="str">
            <v>KG</v>
          </cell>
          <cell r="X256">
            <v>0</v>
          </cell>
          <cell r="Y256">
            <v>0</v>
          </cell>
          <cell r="Z256">
            <v>1060</v>
          </cell>
          <cell r="AA256" t="str">
            <v>KG</v>
          </cell>
          <cell r="AB256">
            <v>26.031562041070927</v>
          </cell>
          <cell r="AC256">
            <v>1060</v>
          </cell>
          <cell r="AD256">
            <v>26.031562041070927</v>
          </cell>
          <cell r="AE256" t="e">
            <v>#N/A</v>
          </cell>
          <cell r="AF256">
            <v>0</v>
          </cell>
          <cell r="AG256" t="e">
            <v>#N/A</v>
          </cell>
          <cell r="AH256" t="e">
            <v>#N/A</v>
          </cell>
          <cell r="AI256">
            <v>0</v>
          </cell>
          <cell r="AJ256">
            <v>0</v>
          </cell>
          <cell r="AK256" t="str">
            <v>Slitting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</row>
        <row r="257">
          <cell r="K257" t="str">
            <v>SO24-2691</v>
          </cell>
          <cell r="L257" t="str">
            <v>BR- TTP 40 B- TCPL(20000000004360)</v>
          </cell>
          <cell r="M257" t="str">
            <v>C24-2695</v>
          </cell>
          <cell r="O257" t="str">
            <v>COMPLETED</v>
          </cell>
          <cell r="P257">
            <v>1000</v>
          </cell>
          <cell r="Q257">
            <v>1</v>
          </cell>
          <cell r="R257">
            <v>1000</v>
          </cell>
          <cell r="S257" t="str">
            <v>KG</v>
          </cell>
          <cell r="T257">
            <v>1060</v>
          </cell>
          <cell r="U257">
            <v>33.240302298598259</v>
          </cell>
          <cell r="V257" t="e">
            <v>#N/A</v>
          </cell>
          <cell r="W257" t="str">
            <v>KG</v>
          </cell>
          <cell r="X257">
            <v>1032</v>
          </cell>
          <cell r="Y257">
            <v>32.36225657750321</v>
          </cell>
          <cell r="Z257">
            <v>28</v>
          </cell>
          <cell r="AA257" t="str">
            <v>KG</v>
          </cell>
          <cell r="AB257">
            <v>0.87804572109504875</v>
          </cell>
          <cell r="AC257">
            <v>28</v>
          </cell>
          <cell r="AD257">
            <v>0.8780457210950483</v>
          </cell>
          <cell r="AE257" t="e">
            <v>#N/A</v>
          </cell>
          <cell r="AF257">
            <v>0</v>
          </cell>
          <cell r="AG257" t="e">
            <v>#N/A</v>
          </cell>
          <cell r="AH257" t="e">
            <v>#N/A</v>
          </cell>
          <cell r="AI257">
            <v>1032</v>
          </cell>
          <cell r="AJ257">
            <v>0</v>
          </cell>
          <cell r="AK257" t="str">
            <v>Slitting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</row>
        <row r="258">
          <cell r="K258" t="str">
            <v>SO24-2686</v>
          </cell>
          <cell r="L258" t="str">
            <v>MANGALAM ASSAM  TEA 100GM</v>
          </cell>
          <cell r="M258" t="str">
            <v>C24-2697</v>
          </cell>
          <cell r="O258" t="str">
            <v>BAL</v>
          </cell>
          <cell r="P258">
            <v>500</v>
          </cell>
          <cell r="Q258">
            <v>1</v>
          </cell>
          <cell r="R258">
            <v>500</v>
          </cell>
          <cell r="S258" t="str">
            <v>KG</v>
          </cell>
          <cell r="T258">
            <v>120.5728518057285</v>
          </cell>
          <cell r="U258">
            <v>8.0672321561440192</v>
          </cell>
          <cell r="V258">
            <v>0</v>
          </cell>
          <cell r="W258" t="str">
            <v>KG</v>
          </cell>
          <cell r="X258">
            <v>0</v>
          </cell>
          <cell r="Y258">
            <v>0</v>
          </cell>
          <cell r="Z258">
            <v>120.5728518057285</v>
          </cell>
          <cell r="AA258" t="str">
            <v>KG</v>
          </cell>
          <cell r="AB258">
            <v>8.0672321561440192</v>
          </cell>
          <cell r="AC258">
            <v>120.5728518057285</v>
          </cell>
          <cell r="AD258">
            <v>8.0672321561440192</v>
          </cell>
          <cell r="AE258">
            <v>0.78</v>
          </cell>
          <cell r="AF258">
            <v>0</v>
          </cell>
          <cell r="AG258">
            <v>0</v>
          </cell>
          <cell r="AH258">
            <v>16.134464312288038</v>
          </cell>
          <cell r="AI258">
            <v>0</v>
          </cell>
          <cell r="AJ258">
            <v>0</v>
          </cell>
          <cell r="AK258" t="str">
            <v>solv.Less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</row>
        <row r="259">
          <cell r="K259" t="str">
            <v>SO24-2697</v>
          </cell>
          <cell r="L259" t="str">
            <v>ITC A.Atta 5kg Mic QC Promo Bengali Cl no-3  (FPAT01861)</v>
          </cell>
          <cell r="M259" t="str">
            <v>C24-2698</v>
          </cell>
          <cell r="O259" t="str">
            <v>BAL</v>
          </cell>
          <cell r="P259">
            <v>10000</v>
          </cell>
          <cell r="Q259">
            <v>1</v>
          </cell>
          <cell r="R259">
            <v>10000</v>
          </cell>
          <cell r="S259" t="str">
            <v>KG</v>
          </cell>
          <cell r="T259">
            <v>2684.3229028444593</v>
          </cell>
          <cell r="U259">
            <v>184.96626376189212</v>
          </cell>
          <cell r="V259" t="e">
            <v>#N/A</v>
          </cell>
          <cell r="W259" t="str">
            <v>KG</v>
          </cell>
          <cell r="X259">
            <v>2682</v>
          </cell>
          <cell r="Y259">
            <v>184.80620155038758</v>
          </cell>
          <cell r="Z259">
            <v>2.3229028444593496</v>
          </cell>
          <cell r="AA259" t="str">
            <v>KG</v>
          </cell>
          <cell r="AB259">
            <v>0.16006221150453825</v>
          </cell>
          <cell r="AC259">
            <v>2684.3229028444593</v>
          </cell>
          <cell r="AD259">
            <v>184.96626376189212</v>
          </cell>
          <cell r="AE259" t="e">
            <v>#N/A</v>
          </cell>
          <cell r="AF259">
            <v>0</v>
          </cell>
          <cell r="AG259" t="e">
            <v>#N/A</v>
          </cell>
          <cell r="AH259" t="e">
            <v>#N/A</v>
          </cell>
          <cell r="AI259">
            <v>0</v>
          </cell>
          <cell r="AJ259">
            <v>2682</v>
          </cell>
          <cell r="AK259" t="str">
            <v>solv.Less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</row>
        <row r="260">
          <cell r="K260" t="str">
            <v>SO24-2683</v>
          </cell>
          <cell r="L260" t="str">
            <v>Grab on 3in1 -Combo 10 (Jelly/Pop It/Crazy Balls)</v>
          </cell>
          <cell r="M260" t="str">
            <v>C24-2699</v>
          </cell>
          <cell r="O260" t="str">
            <v>BAL</v>
          </cell>
          <cell r="P260">
            <v>1000</v>
          </cell>
          <cell r="Q260">
            <v>1</v>
          </cell>
          <cell r="R260">
            <v>1000</v>
          </cell>
          <cell r="S260" t="str">
            <v>KG</v>
          </cell>
          <cell r="T260">
            <v>261.42716211772444</v>
          </cell>
          <cell r="U260">
            <v>20.148528872271633</v>
          </cell>
          <cell r="V260" t="e">
            <v>#N/A</v>
          </cell>
          <cell r="W260" t="str">
            <v>KG</v>
          </cell>
          <cell r="X260">
            <v>0</v>
          </cell>
          <cell r="Y260">
            <v>0</v>
          </cell>
          <cell r="Z260">
            <v>261.42716211772444</v>
          </cell>
          <cell r="AA260" t="str">
            <v>KG</v>
          </cell>
          <cell r="AB260">
            <v>20.148528872271633</v>
          </cell>
          <cell r="AC260">
            <v>261.42716211772444</v>
          </cell>
          <cell r="AD260">
            <v>20.148528872271633</v>
          </cell>
          <cell r="AE260" t="e">
            <v>#N/A</v>
          </cell>
          <cell r="AF260">
            <v>20.148528872271633</v>
          </cell>
          <cell r="AG260" t="e">
            <v>#N/A</v>
          </cell>
          <cell r="AH260" t="e">
            <v>#N/A</v>
          </cell>
          <cell r="AI260">
            <v>0</v>
          </cell>
          <cell r="AJ260">
            <v>0</v>
          </cell>
          <cell r="AK260" t="str">
            <v>Extrusion</v>
          </cell>
          <cell r="AL260">
            <v>672.84380138112454</v>
          </cell>
          <cell r="AM260">
            <v>0</v>
          </cell>
          <cell r="AN260">
            <v>0</v>
          </cell>
          <cell r="AO260">
            <v>0</v>
          </cell>
        </row>
        <row r="261">
          <cell r="K261" t="str">
            <v>SO24-2644</v>
          </cell>
          <cell r="L261" t="str">
            <v>APPUJEE -ATTA- 1KG[ROLL]</v>
          </cell>
          <cell r="M261" t="str">
            <v>C24-2700</v>
          </cell>
          <cell r="O261" t="str">
            <v>BAL</v>
          </cell>
          <cell r="P261">
            <v>2000</v>
          </cell>
          <cell r="Q261">
            <v>1</v>
          </cell>
          <cell r="R261">
            <v>2000</v>
          </cell>
          <cell r="S261" t="str">
            <v>KG</v>
          </cell>
          <cell r="T261">
            <v>519.52744961779001</v>
          </cell>
          <cell r="U261">
            <v>34.136766516708725</v>
          </cell>
          <cell r="V261">
            <v>0</v>
          </cell>
          <cell r="W261" t="str">
            <v>KG</v>
          </cell>
          <cell r="X261">
            <v>0</v>
          </cell>
          <cell r="Y261">
            <v>0</v>
          </cell>
          <cell r="Z261">
            <v>519.52744961779001</v>
          </cell>
          <cell r="AA261" t="str">
            <v>KG</v>
          </cell>
          <cell r="AB261">
            <v>34.136766516708725</v>
          </cell>
          <cell r="AC261">
            <v>519.52744961779001</v>
          </cell>
          <cell r="AD261">
            <v>34.136766516708725</v>
          </cell>
          <cell r="AE261">
            <v>0.84</v>
          </cell>
          <cell r="AF261">
            <v>0</v>
          </cell>
          <cell r="AG261">
            <v>0</v>
          </cell>
          <cell r="AH261">
            <v>34.136766516708725</v>
          </cell>
          <cell r="AI261">
            <v>0</v>
          </cell>
          <cell r="AJ261">
            <v>0</v>
          </cell>
          <cell r="AK261" t="str">
            <v>solv.Less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</row>
        <row r="262">
          <cell r="K262" t="str">
            <v>SO24-2561</v>
          </cell>
          <cell r="L262" t="str">
            <v>TATA SALT 970gm B.NO-GA LAM MRP 30 RL-212 NE (15201)</v>
          </cell>
          <cell r="M262" t="str">
            <v>C24-2704</v>
          </cell>
          <cell r="O262" t="str">
            <v>BAL</v>
          </cell>
          <cell r="P262">
            <v>4070</v>
          </cell>
          <cell r="Q262">
            <v>1</v>
          </cell>
          <cell r="R262">
            <v>4070</v>
          </cell>
          <cell r="S262" t="str">
            <v>KG</v>
          </cell>
          <cell r="T262" t="e">
            <v>#N/A</v>
          </cell>
          <cell r="U262" t="e">
            <v>#N/A</v>
          </cell>
          <cell r="V262" t="e">
            <v>#N/A</v>
          </cell>
          <cell r="W262" t="str">
            <v>KG</v>
          </cell>
          <cell r="X262">
            <v>1995</v>
          </cell>
          <cell r="Y262" t="e">
            <v>#N/A</v>
          </cell>
          <cell r="Z262" t="e">
            <v>#N/A</v>
          </cell>
          <cell r="AA262" t="str">
            <v>KG</v>
          </cell>
          <cell r="AB262" t="e">
            <v>#N/A</v>
          </cell>
          <cell r="AC262" t="e">
            <v>#N/A</v>
          </cell>
          <cell r="AD262" t="e">
            <v>#N/A</v>
          </cell>
          <cell r="AE262" t="e">
            <v>#N/A</v>
          </cell>
          <cell r="AF262" t="e">
            <v>#N/A</v>
          </cell>
          <cell r="AG262" t="e">
            <v>#N/A</v>
          </cell>
          <cell r="AH262" t="e">
            <v>#N/A</v>
          </cell>
          <cell r="AI262">
            <v>0</v>
          </cell>
          <cell r="AJ262">
            <v>1995</v>
          </cell>
          <cell r="AK262" t="e">
            <v>#N/A</v>
          </cell>
          <cell r="AL262" t="e">
            <v>#N/A</v>
          </cell>
          <cell r="AM262">
            <v>0</v>
          </cell>
          <cell r="AN262">
            <v>0</v>
          </cell>
          <cell r="AO262">
            <v>0</v>
          </cell>
        </row>
        <row r="263">
          <cell r="L263" t="str">
            <v>X</v>
          </cell>
          <cell r="M263" t="str">
            <v>X</v>
          </cell>
          <cell r="N263" t="str">
            <v>X</v>
          </cell>
          <cell r="O263" t="str">
            <v>X</v>
          </cell>
          <cell r="P263" t="str">
            <v>X</v>
          </cell>
          <cell r="Q263" t="str">
            <v>X</v>
          </cell>
          <cell r="R263" t="str">
            <v>X</v>
          </cell>
          <cell r="S263" t="str">
            <v>X</v>
          </cell>
          <cell r="T263" t="str">
            <v>X</v>
          </cell>
          <cell r="U263" t="str">
            <v>X</v>
          </cell>
          <cell r="X263" t="str">
            <v>X</v>
          </cell>
          <cell r="AI263" t="str">
            <v>X</v>
          </cell>
          <cell r="AJ263" t="str">
            <v>X</v>
          </cell>
          <cell r="AK263" t="str">
            <v>X</v>
          </cell>
          <cell r="AL263" t="str">
            <v>X</v>
          </cell>
          <cell r="AM263" t="str">
            <v>X</v>
          </cell>
          <cell r="AN263" t="str">
            <v>X</v>
          </cell>
          <cell r="AO263" t="str">
            <v>X</v>
          </cell>
        </row>
        <row r="264">
          <cell r="K264" t="str">
            <v>SO24-866</v>
          </cell>
          <cell r="L264" t="str">
            <v>ITC BINGO TM Xtra Teekha 10 50% 274X188(FPSX02691)</v>
          </cell>
          <cell r="M264">
            <v>0</v>
          </cell>
          <cell r="O264" t="str">
            <v>BAL</v>
          </cell>
          <cell r="P264">
            <v>2000</v>
          </cell>
          <cell r="Q264">
            <v>1</v>
          </cell>
          <cell r="R264">
            <v>2000</v>
          </cell>
          <cell r="S264" t="str">
            <v>KG</v>
          </cell>
          <cell r="T264">
            <v>473.21428571428567</v>
          </cell>
          <cell r="U264">
            <v>36.576949620427875</v>
          </cell>
          <cell r="V264" t="e">
            <v>#N/A</v>
          </cell>
          <cell r="W264" t="str">
            <v>KG</v>
          </cell>
          <cell r="X264">
            <v>0</v>
          </cell>
          <cell r="Y264">
            <v>0</v>
          </cell>
          <cell r="Z264">
            <v>473.21428571428567</v>
          </cell>
          <cell r="AA264" t="str">
            <v>KG</v>
          </cell>
          <cell r="AB264">
            <v>36.576949620427875</v>
          </cell>
          <cell r="AC264">
            <v>473.21428571428567</v>
          </cell>
          <cell r="AD264">
            <v>36.576949620427875</v>
          </cell>
          <cell r="AE264" t="e">
            <v>#N/A</v>
          </cell>
          <cell r="AF264">
            <v>36.576949620427875</v>
          </cell>
          <cell r="AG264" t="e">
            <v>#N/A</v>
          </cell>
          <cell r="AH264" t="e">
            <v>#N/A</v>
          </cell>
          <cell r="AI264">
            <v>0</v>
          </cell>
          <cell r="AJ264">
            <v>0</v>
          </cell>
          <cell r="AK264" t="str">
            <v>Extrusion</v>
          </cell>
          <cell r="AL264">
            <v>1331.1517857142856</v>
          </cell>
          <cell r="AM264">
            <v>0</v>
          </cell>
          <cell r="AN264">
            <v>0</v>
          </cell>
          <cell r="AO264">
            <v>0</v>
          </cell>
        </row>
        <row r="265">
          <cell r="K265" t="str">
            <v>SO24-1232</v>
          </cell>
          <cell r="L265" t="str">
            <v>One side transparent and one side metallic 500g stand up with zipper(160x230)</v>
          </cell>
          <cell r="M265">
            <v>0</v>
          </cell>
          <cell r="O265" t="str">
            <v>BAL</v>
          </cell>
          <cell r="P265">
            <v>100</v>
          </cell>
          <cell r="Q265">
            <v>1</v>
          </cell>
          <cell r="R265">
            <v>100</v>
          </cell>
          <cell r="S265" t="str">
            <v>KG</v>
          </cell>
          <cell r="T265" t="e">
            <v>#DIV/0!</v>
          </cell>
          <cell r="U265" t="e">
            <v>#DIV/0!</v>
          </cell>
          <cell r="V265" t="e">
            <v>#DIV/0!</v>
          </cell>
          <cell r="W265" t="str">
            <v>KG</v>
          </cell>
          <cell r="X265">
            <v>0</v>
          </cell>
          <cell r="Y265" t="e">
            <v>#DIV/0!</v>
          </cell>
          <cell r="Z265" t="e">
            <v>#DIV/0!</v>
          </cell>
          <cell r="AA265" t="str">
            <v>KG</v>
          </cell>
          <cell r="AB265" t="e">
            <v>#DIV/0!</v>
          </cell>
          <cell r="AC265" t="e">
            <v>#DIV/0!</v>
          </cell>
          <cell r="AD265" t="e">
            <v>#DIV/0!</v>
          </cell>
          <cell r="AE265" t="e">
            <v>#N/A</v>
          </cell>
          <cell r="AF265">
            <v>0</v>
          </cell>
          <cell r="AG265" t="e">
            <v>#N/A</v>
          </cell>
          <cell r="AH265" t="e">
            <v>#N/A</v>
          </cell>
          <cell r="AI265">
            <v>0</v>
          </cell>
          <cell r="AJ265">
            <v>0</v>
          </cell>
          <cell r="AK265">
            <v>0</v>
          </cell>
          <cell r="AL265" t="e">
            <v>#DIV/0!</v>
          </cell>
          <cell r="AM265">
            <v>0</v>
          </cell>
          <cell r="AN265">
            <v>0</v>
          </cell>
          <cell r="AO265">
            <v>0</v>
          </cell>
        </row>
        <row r="266">
          <cell r="K266" t="str">
            <v>SO24-1920</v>
          </cell>
          <cell r="L266" t="str">
            <v>FW LAM IND EASYHAIRCOLOR NAT BLK 25 ML (5000719)</v>
          </cell>
          <cell r="M266">
            <v>0</v>
          </cell>
          <cell r="O266" t="str">
            <v>BAL</v>
          </cell>
          <cell r="P266">
            <v>300</v>
          </cell>
          <cell r="Q266">
            <v>1</v>
          </cell>
          <cell r="R266">
            <v>300</v>
          </cell>
          <cell r="S266" t="str">
            <v>KG</v>
          </cell>
          <cell r="T266">
            <v>80.581395348837205</v>
          </cell>
          <cell r="U266">
            <v>5.3785472799918042</v>
          </cell>
          <cell r="V266" t="e">
            <v>#N/A</v>
          </cell>
          <cell r="W266" t="str">
            <v>KG</v>
          </cell>
          <cell r="X266">
            <v>0</v>
          </cell>
          <cell r="Y266">
            <v>0</v>
          </cell>
          <cell r="Z266">
            <v>80.581395348837205</v>
          </cell>
          <cell r="AA266" t="str">
            <v>KG</v>
          </cell>
          <cell r="AB266">
            <v>5.3785472799918042</v>
          </cell>
          <cell r="AC266">
            <v>80.581395348837205</v>
          </cell>
          <cell r="AD266">
            <v>5.3785472799918042</v>
          </cell>
          <cell r="AE266" t="e">
            <v>#N/A</v>
          </cell>
          <cell r="AF266">
            <v>0</v>
          </cell>
          <cell r="AG266" t="e">
            <v>#N/A</v>
          </cell>
          <cell r="AH266" t="e">
            <v>#N/A</v>
          </cell>
          <cell r="AI266">
            <v>0</v>
          </cell>
          <cell r="AJ266">
            <v>0</v>
          </cell>
          <cell r="AK266" t="str">
            <v>solv.Less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</row>
        <row r="267">
          <cell r="K267" t="str">
            <v>SO24-1921</v>
          </cell>
          <cell r="L267" t="str">
            <v>FW LAM IND EASYHC SH BASED DARK BROWN 25ML (5001412)</v>
          </cell>
          <cell r="M267">
            <v>0</v>
          </cell>
          <cell r="O267" t="str">
            <v>BAL</v>
          </cell>
          <cell r="P267">
            <v>300</v>
          </cell>
          <cell r="Q267">
            <v>1</v>
          </cell>
          <cell r="R267">
            <v>300</v>
          </cell>
          <cell r="S267" t="str">
            <v>KG</v>
          </cell>
          <cell r="T267">
            <v>80.581395348837205</v>
          </cell>
          <cell r="U267">
            <v>5.3785472799918042</v>
          </cell>
          <cell r="V267" t="e">
            <v>#N/A</v>
          </cell>
          <cell r="W267" t="str">
            <v>KG</v>
          </cell>
          <cell r="X267">
            <v>0</v>
          </cell>
          <cell r="Y267">
            <v>0</v>
          </cell>
          <cell r="Z267">
            <v>80.581395348837205</v>
          </cell>
          <cell r="AA267" t="str">
            <v>KG</v>
          </cell>
          <cell r="AB267">
            <v>5.3785472799918042</v>
          </cell>
          <cell r="AC267">
            <v>80.581395348837205</v>
          </cell>
          <cell r="AD267">
            <v>5.3785472799918042</v>
          </cell>
          <cell r="AE267" t="e">
            <v>#N/A</v>
          </cell>
          <cell r="AF267">
            <v>0</v>
          </cell>
          <cell r="AG267" t="e">
            <v>#N/A</v>
          </cell>
          <cell r="AH267" t="e">
            <v>#N/A</v>
          </cell>
          <cell r="AI267">
            <v>0</v>
          </cell>
          <cell r="AJ267">
            <v>0</v>
          </cell>
          <cell r="AK267" t="str">
            <v>solv.Less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</row>
        <row r="268">
          <cell r="K268" t="str">
            <v>SO24-1922</v>
          </cell>
          <cell r="L268" t="str">
            <v>FW LAM IND EASYHC SH BASED BURGUNDY 25ML (5001416)</v>
          </cell>
          <cell r="M268">
            <v>0</v>
          </cell>
          <cell r="O268" t="str">
            <v>BAL</v>
          </cell>
          <cell r="P268">
            <v>300</v>
          </cell>
          <cell r="Q268">
            <v>1</v>
          </cell>
          <cell r="R268">
            <v>300</v>
          </cell>
          <cell r="S268" t="str">
            <v>KG</v>
          </cell>
          <cell r="T268">
            <v>80.581395348837205</v>
          </cell>
          <cell r="U268">
            <v>5.3785472799918042</v>
          </cell>
          <cell r="V268" t="e">
            <v>#N/A</v>
          </cell>
          <cell r="W268" t="str">
            <v>KG</v>
          </cell>
          <cell r="X268">
            <v>0</v>
          </cell>
          <cell r="Y268">
            <v>0</v>
          </cell>
          <cell r="Z268">
            <v>80.581395348837205</v>
          </cell>
          <cell r="AA268" t="str">
            <v>KG</v>
          </cell>
          <cell r="AB268">
            <v>5.3785472799918042</v>
          </cell>
          <cell r="AC268">
            <v>80.581395348837205</v>
          </cell>
          <cell r="AD268">
            <v>5.3785472799918042</v>
          </cell>
          <cell r="AE268" t="e">
            <v>#N/A</v>
          </cell>
          <cell r="AF268">
            <v>0</v>
          </cell>
          <cell r="AG268" t="e">
            <v>#N/A</v>
          </cell>
          <cell r="AH268" t="e">
            <v>#N/A</v>
          </cell>
          <cell r="AI268">
            <v>0</v>
          </cell>
          <cell r="AJ268">
            <v>0</v>
          </cell>
          <cell r="AK268" t="str">
            <v>solv.Less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</row>
        <row r="269">
          <cell r="K269" t="str">
            <v>SO24-1926</v>
          </cell>
          <cell r="L269" t="str">
            <v>FW LAM INDICA EASY NATBLK 10ML (5009476)</v>
          </cell>
          <cell r="M269">
            <v>0</v>
          </cell>
          <cell r="O269" t="str">
            <v>BAL</v>
          </cell>
          <cell r="P269">
            <v>300</v>
          </cell>
          <cell r="Q269">
            <v>1</v>
          </cell>
          <cell r="R269">
            <v>300</v>
          </cell>
          <cell r="S269" t="str">
            <v>KG</v>
          </cell>
          <cell r="T269">
            <v>80.581395348837205</v>
          </cell>
          <cell r="U269">
            <v>5.4750234643862763</v>
          </cell>
          <cell r="V269" t="e">
            <v>#N/A</v>
          </cell>
          <cell r="W269" t="str">
            <v>KG</v>
          </cell>
          <cell r="X269">
            <v>0</v>
          </cell>
          <cell r="Y269">
            <v>0</v>
          </cell>
          <cell r="Z269">
            <v>80.581395348837205</v>
          </cell>
          <cell r="AA269" t="str">
            <v>KG</v>
          </cell>
          <cell r="AB269">
            <v>5.4750234643862763</v>
          </cell>
          <cell r="AC269">
            <v>80.581395348837205</v>
          </cell>
          <cell r="AD269">
            <v>5.4750234643862763</v>
          </cell>
          <cell r="AE269" t="e">
            <v>#N/A</v>
          </cell>
          <cell r="AF269">
            <v>0</v>
          </cell>
          <cell r="AG269" t="e">
            <v>#N/A</v>
          </cell>
          <cell r="AH269" t="e">
            <v>#N/A</v>
          </cell>
          <cell r="AI269">
            <v>0</v>
          </cell>
          <cell r="AJ269">
            <v>0</v>
          </cell>
          <cell r="AK269" t="str">
            <v>solv.Less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</row>
        <row r="270">
          <cell r="K270" t="str">
            <v>SO24-1927</v>
          </cell>
          <cell r="L270" t="str">
            <v>FW LAM INDICA EASY DRKBRWN 10ML (5009550)</v>
          </cell>
          <cell r="M270">
            <v>0</v>
          </cell>
          <cell r="O270" t="str">
            <v>BAL</v>
          </cell>
          <cell r="P270">
            <v>300</v>
          </cell>
          <cell r="Q270">
            <v>1</v>
          </cell>
          <cell r="R270">
            <v>300</v>
          </cell>
          <cell r="S270" t="str">
            <v>KG</v>
          </cell>
          <cell r="T270">
            <v>80.581395348837205</v>
          </cell>
          <cell r="U270">
            <v>5.4750234643862763</v>
          </cell>
          <cell r="V270" t="e">
            <v>#N/A</v>
          </cell>
          <cell r="W270" t="str">
            <v>KG</v>
          </cell>
          <cell r="X270">
            <v>0</v>
          </cell>
          <cell r="Y270">
            <v>0</v>
          </cell>
          <cell r="Z270">
            <v>80.581395348837205</v>
          </cell>
          <cell r="AA270" t="str">
            <v>KG</v>
          </cell>
          <cell r="AB270">
            <v>5.4750234643862763</v>
          </cell>
          <cell r="AC270">
            <v>80.581395348837205</v>
          </cell>
          <cell r="AD270">
            <v>5.4750234643862763</v>
          </cell>
          <cell r="AE270" t="e">
            <v>#N/A</v>
          </cell>
          <cell r="AF270">
            <v>0</v>
          </cell>
          <cell r="AG270" t="e">
            <v>#N/A</v>
          </cell>
          <cell r="AH270" t="e">
            <v>#N/A</v>
          </cell>
          <cell r="AI270">
            <v>0</v>
          </cell>
          <cell r="AJ270">
            <v>0</v>
          </cell>
          <cell r="AK270" t="str">
            <v>solv.Less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</row>
        <row r="271">
          <cell r="K271" t="str">
            <v>SO24-1931</v>
          </cell>
          <cell r="L271" t="str">
            <v>MEERA AD SHAMPOO 2RS 1025 INKRM (5009574)</v>
          </cell>
          <cell r="M271">
            <v>0</v>
          </cell>
          <cell r="O271" t="str">
            <v>BAL</v>
          </cell>
          <cell r="P271">
            <v>7000</v>
          </cell>
          <cell r="Q271">
            <v>1</v>
          </cell>
          <cell r="R271">
            <v>7000</v>
          </cell>
          <cell r="S271" t="str">
            <v>KG</v>
          </cell>
          <cell r="T271">
            <v>2055.9440559440559</v>
          </cell>
          <cell r="U271">
            <v>122.37762237762237</v>
          </cell>
          <cell r="V271" t="e">
            <v>#N/A</v>
          </cell>
          <cell r="W271" t="str">
            <v>KG</v>
          </cell>
          <cell r="X271">
            <v>0</v>
          </cell>
          <cell r="Y271">
            <v>0</v>
          </cell>
          <cell r="Z271">
            <v>2055.9440559440559</v>
          </cell>
          <cell r="AA271" t="str">
            <v>KG</v>
          </cell>
          <cell r="AB271">
            <v>122.37762237762237</v>
          </cell>
          <cell r="AC271">
            <v>2055.9440559440559</v>
          </cell>
          <cell r="AD271">
            <v>122.37762237762237</v>
          </cell>
          <cell r="AE271" t="e">
            <v>#N/A</v>
          </cell>
          <cell r="AF271">
            <v>0</v>
          </cell>
          <cell r="AG271" t="e">
            <v>#N/A</v>
          </cell>
          <cell r="AH271" t="e">
            <v>#N/A</v>
          </cell>
          <cell r="AI271">
            <v>0</v>
          </cell>
          <cell r="AJ271">
            <v>0</v>
          </cell>
          <cell r="AK271" t="str">
            <v>solv.Less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</row>
        <row r="272">
          <cell r="K272" t="str">
            <v>SO24-1932</v>
          </cell>
          <cell r="L272" t="str">
            <v>MEERA HFC SHAMPOO 2RS 1025 INKRM (5009572)</v>
          </cell>
          <cell r="M272">
            <v>0</v>
          </cell>
          <cell r="O272" t="str">
            <v>BAL</v>
          </cell>
          <cell r="P272">
            <v>7000</v>
          </cell>
          <cell r="Q272">
            <v>1</v>
          </cell>
          <cell r="R272">
            <v>7000</v>
          </cell>
          <cell r="S272" t="str">
            <v>KG</v>
          </cell>
          <cell r="T272">
            <v>2055.9440559440559</v>
          </cell>
          <cell r="U272">
            <v>122.37762237762237</v>
          </cell>
          <cell r="V272" t="e">
            <v>#N/A</v>
          </cell>
          <cell r="W272" t="str">
            <v>KG</v>
          </cell>
          <cell r="X272">
            <v>0</v>
          </cell>
          <cell r="Y272">
            <v>0</v>
          </cell>
          <cell r="Z272">
            <v>2055.9440559440559</v>
          </cell>
          <cell r="AA272" t="str">
            <v>KG</v>
          </cell>
          <cell r="AB272">
            <v>122.37762237762237</v>
          </cell>
          <cell r="AC272">
            <v>2055.9440559440559</v>
          </cell>
          <cell r="AD272">
            <v>122.37762237762237</v>
          </cell>
          <cell r="AE272" t="e">
            <v>#N/A</v>
          </cell>
          <cell r="AF272">
            <v>0</v>
          </cell>
          <cell r="AG272" t="e">
            <v>#N/A</v>
          </cell>
          <cell r="AH272" t="e">
            <v>#N/A</v>
          </cell>
          <cell r="AI272">
            <v>0</v>
          </cell>
          <cell r="AJ272">
            <v>0</v>
          </cell>
          <cell r="AK272" t="str">
            <v>solv.Less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</row>
        <row r="273">
          <cell r="K273" t="str">
            <v>SO24-1933</v>
          </cell>
          <cell r="L273" t="str">
            <v>MEERA SNH SHAMPOO 2RS 1025 INKRM (5009573)</v>
          </cell>
          <cell r="M273">
            <v>0</v>
          </cell>
          <cell r="O273" t="str">
            <v>BAL</v>
          </cell>
          <cell r="P273">
            <v>7000</v>
          </cell>
          <cell r="Q273">
            <v>1</v>
          </cell>
          <cell r="R273">
            <v>7000</v>
          </cell>
          <cell r="S273" t="str">
            <v>KG</v>
          </cell>
          <cell r="T273">
            <v>2055.9440559440559</v>
          </cell>
          <cell r="U273">
            <v>122.37762237762237</v>
          </cell>
          <cell r="V273" t="e">
            <v>#N/A</v>
          </cell>
          <cell r="W273" t="str">
            <v>KG</v>
          </cell>
          <cell r="X273">
            <v>0</v>
          </cell>
          <cell r="Y273">
            <v>0</v>
          </cell>
          <cell r="Z273">
            <v>2055.9440559440559</v>
          </cell>
          <cell r="AA273" t="str">
            <v>KG</v>
          </cell>
          <cell r="AB273">
            <v>122.37762237762237</v>
          </cell>
          <cell r="AC273">
            <v>2055.9440559440559</v>
          </cell>
          <cell r="AD273">
            <v>122.37762237762237</v>
          </cell>
          <cell r="AE273" t="e">
            <v>#N/A</v>
          </cell>
          <cell r="AF273">
            <v>0</v>
          </cell>
          <cell r="AG273" t="e">
            <v>#N/A</v>
          </cell>
          <cell r="AH273" t="e">
            <v>#N/A</v>
          </cell>
          <cell r="AI273">
            <v>0</v>
          </cell>
          <cell r="AJ273">
            <v>0</v>
          </cell>
          <cell r="AK273" t="str">
            <v>solv.Less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</row>
        <row r="274">
          <cell r="K274" t="str">
            <v>SO24-2112</v>
          </cell>
          <cell r="L274" t="str">
            <v>FW LAM INDICA EASY NATBLK 10ML (5009476)</v>
          </cell>
          <cell r="M274">
            <v>0</v>
          </cell>
          <cell r="O274" t="str">
            <v>BAL</v>
          </cell>
          <cell r="P274">
            <v>3000</v>
          </cell>
          <cell r="Q274">
            <v>1</v>
          </cell>
          <cell r="R274">
            <v>3000</v>
          </cell>
          <cell r="S274" t="str">
            <v>KG</v>
          </cell>
          <cell r="T274">
            <v>805.81395348837202</v>
          </cell>
          <cell r="U274">
            <v>54.750234643862761</v>
          </cell>
          <cell r="V274" t="e">
            <v>#N/A</v>
          </cell>
          <cell r="W274" t="str">
            <v>KG</v>
          </cell>
          <cell r="X274">
            <v>0</v>
          </cell>
          <cell r="Y274">
            <v>0</v>
          </cell>
          <cell r="Z274">
            <v>805.81395348837202</v>
          </cell>
          <cell r="AA274" t="str">
            <v>KG</v>
          </cell>
          <cell r="AB274">
            <v>54.750234643862761</v>
          </cell>
          <cell r="AC274">
            <v>805.81395348837202</v>
          </cell>
          <cell r="AD274">
            <v>54.750234643862761</v>
          </cell>
          <cell r="AE274" t="e">
            <v>#N/A</v>
          </cell>
          <cell r="AF274">
            <v>0</v>
          </cell>
          <cell r="AG274" t="e">
            <v>#N/A</v>
          </cell>
          <cell r="AH274" t="e">
            <v>#N/A</v>
          </cell>
          <cell r="AI274">
            <v>0</v>
          </cell>
          <cell r="AJ274">
            <v>0</v>
          </cell>
          <cell r="AK274" t="str">
            <v>solv.Less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</row>
        <row r="275">
          <cell r="K275" t="str">
            <v>SO24-2429</v>
          </cell>
          <cell r="L275" t="str">
            <v>HOMA Fun Bun</v>
          </cell>
          <cell r="M275">
            <v>0</v>
          </cell>
          <cell r="O275" t="str">
            <v>BAL</v>
          </cell>
          <cell r="P275">
            <v>1000</v>
          </cell>
          <cell r="Q275">
            <v>1</v>
          </cell>
          <cell r="R275">
            <v>1000</v>
          </cell>
          <cell r="S275" t="str">
            <v>KG</v>
          </cell>
          <cell r="T275">
            <v>507.45501285347029</v>
          </cell>
          <cell r="U275">
            <v>28.563267637817766</v>
          </cell>
          <cell r="V275" t="e">
            <v>#N/A</v>
          </cell>
          <cell r="W275" t="str">
            <v>KG</v>
          </cell>
          <cell r="X275">
            <v>0</v>
          </cell>
          <cell r="Y275">
            <v>0</v>
          </cell>
          <cell r="Z275">
            <v>507.45501285347029</v>
          </cell>
          <cell r="AA275" t="str">
            <v>KG</v>
          </cell>
          <cell r="AB275">
            <v>28.563267637817766</v>
          </cell>
          <cell r="AC275">
            <v>507.45501285347029</v>
          </cell>
          <cell r="AD275">
            <v>28.563267637817766</v>
          </cell>
          <cell r="AE275" t="e">
            <v>#N/A</v>
          </cell>
          <cell r="AF275">
            <v>0</v>
          </cell>
          <cell r="AG275" t="e">
            <v>#N/A</v>
          </cell>
          <cell r="AH275" t="e">
            <v>#N/A</v>
          </cell>
          <cell r="AI275">
            <v>0</v>
          </cell>
          <cell r="AJ275">
            <v>0</v>
          </cell>
          <cell r="AK275" t="str">
            <v>solv.Less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</row>
        <row r="276">
          <cell r="K276" t="str">
            <v>SO24-2490</v>
          </cell>
          <cell r="L276" t="str">
            <v>Mystic Rings Rs.5/-</v>
          </cell>
          <cell r="M276">
            <v>0</v>
          </cell>
          <cell r="O276" t="str">
            <v>BAL</v>
          </cell>
          <cell r="P276">
            <v>1000</v>
          </cell>
          <cell r="Q276">
            <v>1</v>
          </cell>
          <cell r="R276">
            <v>1000</v>
          </cell>
          <cell r="S276" t="str">
            <v>KG</v>
          </cell>
          <cell r="T276">
            <v>258.96086813548175</v>
          </cell>
          <cell r="U276">
            <v>18.663846352106795</v>
          </cell>
          <cell r="V276" t="e">
            <v>#N/A</v>
          </cell>
          <cell r="W276" t="str">
            <v>KG</v>
          </cell>
          <cell r="X276">
            <v>0</v>
          </cell>
          <cell r="Y276">
            <v>0</v>
          </cell>
          <cell r="Z276">
            <v>258.96086813548175</v>
          </cell>
          <cell r="AA276" t="str">
            <v>KG</v>
          </cell>
          <cell r="AB276">
            <v>18.663846352106795</v>
          </cell>
          <cell r="AC276">
            <v>258.96086813548175</v>
          </cell>
          <cell r="AD276">
            <v>18.663846352106795</v>
          </cell>
          <cell r="AE276" t="e">
            <v>#N/A</v>
          </cell>
          <cell r="AF276">
            <v>18.663846352106795</v>
          </cell>
          <cell r="AG276" t="e">
            <v>#N/A</v>
          </cell>
          <cell r="AH276" t="e">
            <v>#N/A</v>
          </cell>
          <cell r="AI276">
            <v>0</v>
          </cell>
          <cell r="AJ276">
            <v>0</v>
          </cell>
          <cell r="AK276" t="str">
            <v>Extrusion</v>
          </cell>
          <cell r="AL276">
            <v>666.49621834922732</v>
          </cell>
          <cell r="AM276">
            <v>0</v>
          </cell>
          <cell r="AN276">
            <v>0</v>
          </cell>
          <cell r="AO276">
            <v>0</v>
          </cell>
        </row>
        <row r="277">
          <cell r="K277" t="str">
            <v>SO24-2491</v>
          </cell>
          <cell r="L277" t="str">
            <v>Mystic ABCD Fryums Rs.5/-</v>
          </cell>
          <cell r="M277">
            <v>0</v>
          </cell>
          <cell r="O277" t="str">
            <v>BAL</v>
          </cell>
          <cell r="P277">
            <v>1000</v>
          </cell>
          <cell r="Q277">
            <v>1</v>
          </cell>
          <cell r="R277">
            <v>1000</v>
          </cell>
          <cell r="S277" t="str">
            <v>KG</v>
          </cell>
          <cell r="T277">
            <v>258.96086813548175</v>
          </cell>
          <cell r="U277">
            <v>18.663846352106795</v>
          </cell>
          <cell r="V277" t="e">
            <v>#N/A</v>
          </cell>
          <cell r="W277" t="str">
            <v>KG</v>
          </cell>
          <cell r="X277">
            <v>0</v>
          </cell>
          <cell r="Y277">
            <v>0</v>
          </cell>
          <cell r="Z277">
            <v>258.96086813548175</v>
          </cell>
          <cell r="AA277" t="str">
            <v>KG</v>
          </cell>
          <cell r="AB277">
            <v>18.663846352106795</v>
          </cell>
          <cell r="AC277">
            <v>258.96086813548175</v>
          </cell>
          <cell r="AD277">
            <v>18.663846352106795</v>
          </cell>
          <cell r="AE277" t="e">
            <v>#N/A</v>
          </cell>
          <cell r="AF277">
            <v>18.663846352106795</v>
          </cell>
          <cell r="AG277" t="e">
            <v>#N/A</v>
          </cell>
          <cell r="AH277" t="e">
            <v>#N/A</v>
          </cell>
          <cell r="AI277">
            <v>0</v>
          </cell>
          <cell r="AJ277">
            <v>0</v>
          </cell>
          <cell r="AK277" t="str">
            <v>Extrusion</v>
          </cell>
          <cell r="AL277">
            <v>666.49621834922732</v>
          </cell>
          <cell r="AM277">
            <v>0</v>
          </cell>
          <cell r="AN277">
            <v>0</v>
          </cell>
          <cell r="AO277">
            <v>0</v>
          </cell>
        </row>
        <row r="278">
          <cell r="K278" t="str">
            <v>SO24-2492</v>
          </cell>
          <cell r="L278" t="str">
            <v>Mystic Triangle Rs.5/-</v>
          </cell>
          <cell r="M278">
            <v>0</v>
          </cell>
          <cell r="O278" t="str">
            <v>BAL</v>
          </cell>
          <cell r="P278">
            <v>1000</v>
          </cell>
          <cell r="Q278">
            <v>1</v>
          </cell>
          <cell r="R278">
            <v>1000</v>
          </cell>
          <cell r="S278" t="str">
            <v>KG</v>
          </cell>
          <cell r="T278">
            <v>258.96086813548175</v>
          </cell>
          <cell r="U278">
            <v>18.663846352106795</v>
          </cell>
          <cell r="V278" t="e">
            <v>#N/A</v>
          </cell>
          <cell r="W278" t="str">
            <v>KG</v>
          </cell>
          <cell r="X278">
            <v>0</v>
          </cell>
          <cell r="Y278">
            <v>0</v>
          </cell>
          <cell r="Z278">
            <v>258.96086813548175</v>
          </cell>
          <cell r="AA278" t="str">
            <v>KG</v>
          </cell>
          <cell r="AB278">
            <v>18.663846352106795</v>
          </cell>
          <cell r="AC278">
            <v>258.96086813548175</v>
          </cell>
          <cell r="AD278">
            <v>18.663846352106795</v>
          </cell>
          <cell r="AE278" t="e">
            <v>#N/A</v>
          </cell>
          <cell r="AF278">
            <v>18.663846352106795</v>
          </cell>
          <cell r="AG278" t="e">
            <v>#N/A</v>
          </cell>
          <cell r="AH278" t="e">
            <v>#N/A</v>
          </cell>
          <cell r="AI278">
            <v>0</v>
          </cell>
          <cell r="AJ278">
            <v>0</v>
          </cell>
          <cell r="AK278" t="str">
            <v>Extrusion</v>
          </cell>
          <cell r="AL278">
            <v>666.49621834922732</v>
          </cell>
          <cell r="AM278">
            <v>0</v>
          </cell>
          <cell r="AN278">
            <v>0</v>
          </cell>
          <cell r="AO278">
            <v>0</v>
          </cell>
        </row>
        <row r="279">
          <cell r="K279" t="str">
            <v>SO24-2493</v>
          </cell>
          <cell r="L279" t="str">
            <v>Mystic Refill Rs.5/-</v>
          </cell>
          <cell r="M279">
            <v>0</v>
          </cell>
          <cell r="O279" t="str">
            <v>BAL</v>
          </cell>
          <cell r="P279">
            <v>1000</v>
          </cell>
          <cell r="Q279">
            <v>1</v>
          </cell>
          <cell r="R279">
            <v>1000</v>
          </cell>
          <cell r="S279" t="str">
            <v>KG</v>
          </cell>
          <cell r="T279">
            <v>258.96086813548175</v>
          </cell>
          <cell r="U279">
            <v>18.663846352106795</v>
          </cell>
          <cell r="V279" t="e">
            <v>#N/A</v>
          </cell>
          <cell r="W279" t="str">
            <v>KG</v>
          </cell>
          <cell r="X279">
            <v>0</v>
          </cell>
          <cell r="Y279">
            <v>0</v>
          </cell>
          <cell r="Z279">
            <v>258.96086813548175</v>
          </cell>
          <cell r="AA279" t="str">
            <v>KG</v>
          </cell>
          <cell r="AB279">
            <v>18.663846352106795</v>
          </cell>
          <cell r="AC279">
            <v>258.96086813548175</v>
          </cell>
          <cell r="AD279">
            <v>18.663846352106795</v>
          </cell>
          <cell r="AE279" t="e">
            <v>#N/A</v>
          </cell>
          <cell r="AF279">
            <v>18.663846352106795</v>
          </cell>
          <cell r="AG279" t="e">
            <v>#N/A</v>
          </cell>
          <cell r="AH279" t="e">
            <v>#N/A</v>
          </cell>
          <cell r="AI279">
            <v>0</v>
          </cell>
          <cell r="AJ279">
            <v>0</v>
          </cell>
          <cell r="AK279" t="str">
            <v>Extrusion</v>
          </cell>
          <cell r="AL279">
            <v>666.49621834922732</v>
          </cell>
          <cell r="AM279">
            <v>0</v>
          </cell>
          <cell r="AN279">
            <v>0</v>
          </cell>
          <cell r="AO279">
            <v>0</v>
          </cell>
        </row>
        <row r="280">
          <cell r="K280" t="str">
            <v>SO24-2559</v>
          </cell>
          <cell r="L280" t="str">
            <v>MAGIK COOK ATTA 2KG (ROLL)</v>
          </cell>
          <cell r="M280">
            <v>0</v>
          </cell>
          <cell r="O280" t="str">
            <v>BAL</v>
          </cell>
          <cell r="P280">
            <v>500</v>
          </cell>
          <cell r="Q280">
            <v>1</v>
          </cell>
          <cell r="R280">
            <v>500</v>
          </cell>
          <cell r="S280" t="str">
            <v>KG</v>
          </cell>
          <cell r="T280">
            <v>116.18226600985219</v>
          </cell>
          <cell r="U280">
            <v>6.4946204935911576</v>
          </cell>
          <cell r="V280" t="e">
            <v>#N/A</v>
          </cell>
          <cell r="W280" t="str">
            <v>KG</v>
          </cell>
          <cell r="X280">
            <v>0</v>
          </cell>
          <cell r="Y280">
            <v>0</v>
          </cell>
          <cell r="Z280">
            <v>116.18226600985219</v>
          </cell>
          <cell r="AA280" t="str">
            <v>KG</v>
          </cell>
          <cell r="AB280">
            <v>6.4946204935911576</v>
          </cell>
          <cell r="AC280">
            <v>116.18226600985219</v>
          </cell>
          <cell r="AD280">
            <v>6.4946204935911576</v>
          </cell>
          <cell r="AE280" t="e">
            <v>#N/A</v>
          </cell>
          <cell r="AF280">
            <v>0</v>
          </cell>
          <cell r="AG280" t="e">
            <v>#N/A</v>
          </cell>
          <cell r="AH280" t="e">
            <v>#N/A</v>
          </cell>
          <cell r="AI280">
            <v>0</v>
          </cell>
          <cell r="AJ280">
            <v>0</v>
          </cell>
          <cell r="AK280" t="str">
            <v>solv.Less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</row>
        <row r="281">
          <cell r="K281" t="str">
            <v>SO24-2557</v>
          </cell>
          <cell r="L281" t="str">
            <v>Non Stop Potato Feast Cream N Onion Rs.5/- (285*175)</v>
          </cell>
          <cell r="M281">
            <v>0</v>
          </cell>
          <cell r="O281" t="str">
            <v>BAL</v>
          </cell>
          <cell r="P281">
            <v>1200</v>
          </cell>
          <cell r="Q281">
            <v>1</v>
          </cell>
          <cell r="R281">
            <v>1200</v>
          </cell>
          <cell r="S281" t="str">
            <v>KG</v>
          </cell>
          <cell r="T281">
            <v>310.75304176257811</v>
          </cell>
          <cell r="U281">
            <v>17.782720558659694</v>
          </cell>
          <cell r="V281" t="e">
            <v>#N/A</v>
          </cell>
          <cell r="W281" t="str">
            <v>KG</v>
          </cell>
          <cell r="X281">
            <v>0</v>
          </cell>
          <cell r="Y281">
            <v>0</v>
          </cell>
          <cell r="Z281">
            <v>310.75304176257811</v>
          </cell>
          <cell r="AA281" t="str">
            <v>KG</v>
          </cell>
          <cell r="AB281">
            <v>17.782720558659694</v>
          </cell>
          <cell r="AC281">
            <v>310.75304176257811</v>
          </cell>
          <cell r="AD281">
            <v>17.782720558659694</v>
          </cell>
          <cell r="AE281" t="e">
            <v>#N/A</v>
          </cell>
          <cell r="AF281">
            <v>17.782720558659694</v>
          </cell>
          <cell r="AG281" t="e">
            <v>#N/A</v>
          </cell>
          <cell r="AH281" t="e">
            <v>#N/A</v>
          </cell>
          <cell r="AI281">
            <v>0</v>
          </cell>
          <cell r="AJ281">
            <v>0</v>
          </cell>
          <cell r="AK281" t="str">
            <v>Extrusion</v>
          </cell>
          <cell r="AL281">
            <v>799.79546201907283</v>
          </cell>
          <cell r="AM281">
            <v>0</v>
          </cell>
          <cell r="AN281">
            <v>0</v>
          </cell>
          <cell r="AO281">
            <v>0</v>
          </cell>
        </row>
        <row r="282">
          <cell r="K282" t="str">
            <v>SO24-2558</v>
          </cell>
          <cell r="L282" t="str">
            <v>Non Stop Potato Feast Cream N Onion Rs.10/- (345*190)</v>
          </cell>
          <cell r="M282">
            <v>0</v>
          </cell>
          <cell r="O282" t="str">
            <v>BAL</v>
          </cell>
          <cell r="P282">
            <v>1000</v>
          </cell>
          <cell r="Q282">
            <v>1</v>
          </cell>
          <cell r="R282">
            <v>1000</v>
          </cell>
          <cell r="S282" t="str">
            <v>KG</v>
          </cell>
          <cell r="T282">
            <v>258.96086813548175</v>
          </cell>
          <cell r="U282">
            <v>16.286847052546019</v>
          </cell>
          <cell r="V282" t="e">
            <v>#N/A</v>
          </cell>
          <cell r="W282" t="str">
            <v>KG</v>
          </cell>
          <cell r="X282">
            <v>0</v>
          </cell>
          <cell r="Y282">
            <v>0</v>
          </cell>
          <cell r="Z282">
            <v>258.96086813548175</v>
          </cell>
          <cell r="AA282" t="str">
            <v>KG</v>
          </cell>
          <cell r="AB282">
            <v>16.286847052546019</v>
          </cell>
          <cell r="AC282">
            <v>258.96086813548175</v>
          </cell>
          <cell r="AD282">
            <v>16.286847052546019</v>
          </cell>
          <cell r="AE282" t="e">
            <v>#N/A</v>
          </cell>
          <cell r="AF282">
            <v>16.286847052546019</v>
          </cell>
          <cell r="AG282" t="e">
            <v>#N/A</v>
          </cell>
          <cell r="AH282" t="e">
            <v>#N/A</v>
          </cell>
          <cell r="AI282">
            <v>0</v>
          </cell>
          <cell r="AJ282">
            <v>0</v>
          </cell>
          <cell r="AK282" t="str">
            <v>Extrusion</v>
          </cell>
          <cell r="AL282">
            <v>666.49621834922721</v>
          </cell>
          <cell r="AM282">
            <v>0</v>
          </cell>
          <cell r="AN282">
            <v>0</v>
          </cell>
          <cell r="AO282">
            <v>0</v>
          </cell>
        </row>
        <row r="283">
          <cell r="K283" t="str">
            <v>SO24-2576</v>
          </cell>
          <cell r="L283" t="str">
            <v>Repose Akhoi</v>
          </cell>
          <cell r="M283">
            <v>0</v>
          </cell>
          <cell r="O283" t="str">
            <v>BAL</v>
          </cell>
          <cell r="P283">
            <v>500</v>
          </cell>
          <cell r="Q283">
            <v>1</v>
          </cell>
          <cell r="R283">
            <v>500</v>
          </cell>
          <cell r="S283" t="str">
            <v>KG</v>
          </cell>
          <cell r="T283">
            <v>246.5699208443271</v>
          </cell>
          <cell r="U283">
            <v>16.20145350182845</v>
          </cell>
          <cell r="V283" t="e">
            <v>#N/A</v>
          </cell>
          <cell r="W283" t="str">
            <v>KG</v>
          </cell>
          <cell r="X283">
            <v>0</v>
          </cell>
          <cell r="Y283">
            <v>0</v>
          </cell>
          <cell r="Z283">
            <v>246.5699208443271</v>
          </cell>
          <cell r="AA283" t="str">
            <v>KG</v>
          </cell>
          <cell r="AB283">
            <v>16.20145350182845</v>
          </cell>
          <cell r="AC283">
            <v>246.5699208443271</v>
          </cell>
          <cell r="AD283">
            <v>16.20145350182845</v>
          </cell>
          <cell r="AE283" t="e">
            <v>#N/A</v>
          </cell>
          <cell r="AF283">
            <v>0</v>
          </cell>
          <cell r="AG283" t="e">
            <v>#N/A</v>
          </cell>
          <cell r="AH283" t="e">
            <v>#N/A</v>
          </cell>
          <cell r="AI283">
            <v>0</v>
          </cell>
          <cell r="AJ283">
            <v>0</v>
          </cell>
          <cell r="AK283" t="str">
            <v>solv.Less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</row>
        <row r="284">
          <cell r="K284" t="str">
            <v>SO24-2577</v>
          </cell>
          <cell r="L284" t="str">
            <v>Repose Muri</v>
          </cell>
          <cell r="M284">
            <v>0</v>
          </cell>
          <cell r="O284" t="str">
            <v>BAL</v>
          </cell>
          <cell r="P284">
            <v>500</v>
          </cell>
          <cell r="Q284">
            <v>1</v>
          </cell>
          <cell r="R284">
            <v>500</v>
          </cell>
          <cell r="S284" t="str">
            <v>KG</v>
          </cell>
          <cell r="T284">
            <v>246.5699208443271</v>
          </cell>
          <cell r="U284">
            <v>16.20145350182845</v>
          </cell>
          <cell r="V284" t="e">
            <v>#N/A</v>
          </cell>
          <cell r="W284" t="str">
            <v>KG</v>
          </cell>
          <cell r="X284">
            <v>0</v>
          </cell>
          <cell r="Y284">
            <v>0</v>
          </cell>
          <cell r="Z284">
            <v>246.5699208443271</v>
          </cell>
          <cell r="AA284" t="str">
            <v>KG</v>
          </cell>
          <cell r="AB284">
            <v>16.20145350182845</v>
          </cell>
          <cell r="AC284">
            <v>246.5699208443271</v>
          </cell>
          <cell r="AD284">
            <v>16.20145350182845</v>
          </cell>
          <cell r="AE284" t="e">
            <v>#N/A</v>
          </cell>
          <cell r="AF284">
            <v>0</v>
          </cell>
          <cell r="AG284" t="e">
            <v>#N/A</v>
          </cell>
          <cell r="AH284" t="e">
            <v>#N/A</v>
          </cell>
          <cell r="AI284">
            <v>0</v>
          </cell>
          <cell r="AJ284">
            <v>0</v>
          </cell>
          <cell r="AK284" t="str">
            <v>solv.Less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</row>
        <row r="285">
          <cell r="K285" t="str">
            <v>SO24-2597</v>
          </cell>
          <cell r="L285" t="str">
            <v>EVERYDAY SPICE BLACK PEPPER(GUTA) Rs.10/-</v>
          </cell>
          <cell r="M285">
            <v>0</v>
          </cell>
          <cell r="O285" t="str">
            <v>BAL</v>
          </cell>
          <cell r="P285">
            <v>500</v>
          </cell>
          <cell r="Q285">
            <v>1</v>
          </cell>
          <cell r="R285">
            <v>500</v>
          </cell>
          <cell r="S285" t="str">
            <v>KG</v>
          </cell>
          <cell r="T285">
            <v>0</v>
          </cell>
          <cell r="U285" t="e">
            <v>#DIV/0!</v>
          </cell>
          <cell r="V285" t="e">
            <v>#DIV/0!</v>
          </cell>
          <cell r="W285" t="str">
            <v>KG</v>
          </cell>
          <cell r="X285">
            <v>0</v>
          </cell>
          <cell r="Y285" t="e">
            <v>#DIV/0!</v>
          </cell>
          <cell r="Z285">
            <v>0</v>
          </cell>
          <cell r="AA285" t="str">
            <v>KG</v>
          </cell>
          <cell r="AB285" t="e">
            <v>#DIV/0!</v>
          </cell>
          <cell r="AC285">
            <v>0</v>
          </cell>
          <cell r="AD285" t="e">
            <v>#DIV/0!</v>
          </cell>
          <cell r="AE285" t="e">
            <v>#N/A</v>
          </cell>
          <cell r="AF285">
            <v>0</v>
          </cell>
          <cell r="AG285" t="e">
            <v>#N/A</v>
          </cell>
          <cell r="AH285" t="e">
            <v>#N/A</v>
          </cell>
          <cell r="AI285">
            <v>0</v>
          </cell>
          <cell r="AJ285">
            <v>0</v>
          </cell>
          <cell r="AK285" t="str">
            <v>solv.Less</v>
          </cell>
          <cell r="AL285" t="e">
            <v>#DIV/0!</v>
          </cell>
          <cell r="AM285">
            <v>0</v>
          </cell>
          <cell r="AN285">
            <v>0</v>
          </cell>
          <cell r="AO285">
            <v>0</v>
          </cell>
        </row>
        <row r="286">
          <cell r="K286" t="str">
            <v>SO24-2599</v>
          </cell>
          <cell r="L286" t="str">
            <v>Everyday Spice Rs.5/- (Pasta Masala)</v>
          </cell>
          <cell r="M286">
            <v>0</v>
          </cell>
          <cell r="O286" t="str">
            <v>BAL</v>
          </cell>
          <cell r="P286">
            <v>1000</v>
          </cell>
          <cell r="Q286">
            <v>1</v>
          </cell>
          <cell r="R286">
            <v>1000</v>
          </cell>
          <cell r="S286" t="str">
            <v>KG</v>
          </cell>
          <cell r="T286">
            <v>260.42216358839039</v>
          </cell>
          <cell r="U286">
            <v>16.996616863881375</v>
          </cell>
          <cell r="V286" t="e">
            <v>#N/A</v>
          </cell>
          <cell r="W286" t="str">
            <v>KG</v>
          </cell>
          <cell r="X286">
            <v>0</v>
          </cell>
          <cell r="Y286">
            <v>0</v>
          </cell>
          <cell r="Z286">
            <v>260.42216358839039</v>
          </cell>
          <cell r="AA286" t="str">
            <v>KG</v>
          </cell>
          <cell r="AB286">
            <v>16.996616863881375</v>
          </cell>
          <cell r="AC286">
            <v>260.42216358839039</v>
          </cell>
          <cell r="AD286">
            <v>16.996616863881375</v>
          </cell>
          <cell r="AE286" t="e">
            <v>#N/A</v>
          </cell>
          <cell r="AF286">
            <v>0</v>
          </cell>
          <cell r="AG286" t="e">
            <v>#N/A</v>
          </cell>
          <cell r="AH286" t="e">
            <v>#N/A</v>
          </cell>
          <cell r="AI286">
            <v>0</v>
          </cell>
          <cell r="AJ286">
            <v>0</v>
          </cell>
          <cell r="AK286" t="str">
            <v>solv.Less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</row>
        <row r="287">
          <cell r="K287" t="str">
            <v>SO24-2588</v>
          </cell>
          <cell r="L287" t="str">
            <v>Everyday Multitrack Spice Rs.5/- (Haldi)</v>
          </cell>
          <cell r="M287">
            <v>0</v>
          </cell>
          <cell r="O287" t="str">
            <v>BAL</v>
          </cell>
          <cell r="P287">
            <v>3000</v>
          </cell>
          <cell r="Q287">
            <v>1</v>
          </cell>
          <cell r="R287">
            <v>3000</v>
          </cell>
          <cell r="S287" t="str">
            <v>KG</v>
          </cell>
          <cell r="T287">
            <v>781.26649076517128</v>
          </cell>
          <cell r="U287">
            <v>42.622285366348684</v>
          </cell>
          <cell r="V287" t="e">
            <v>#N/A</v>
          </cell>
          <cell r="W287" t="str">
            <v>KG</v>
          </cell>
          <cell r="X287">
            <v>0</v>
          </cell>
          <cell r="Y287">
            <v>0</v>
          </cell>
          <cell r="Z287">
            <v>781.26649076517128</v>
          </cell>
          <cell r="AA287" t="str">
            <v>KG</v>
          </cell>
          <cell r="AB287">
            <v>42.622285366348684</v>
          </cell>
          <cell r="AC287">
            <v>781.26649076517128</v>
          </cell>
          <cell r="AD287">
            <v>42.622285366348684</v>
          </cell>
          <cell r="AE287" t="e">
            <v>#N/A</v>
          </cell>
          <cell r="AF287">
            <v>0</v>
          </cell>
          <cell r="AG287" t="e">
            <v>#N/A</v>
          </cell>
          <cell r="AH287" t="e">
            <v>#N/A</v>
          </cell>
          <cell r="AI287">
            <v>0</v>
          </cell>
          <cell r="AJ287">
            <v>0</v>
          </cell>
          <cell r="AK287" t="str">
            <v>solv.Less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</row>
        <row r="288">
          <cell r="K288" t="str">
            <v>SO24-2603</v>
          </cell>
          <cell r="L288" t="str">
            <v>ITC BINGO TM Xtra Teekha 5 50% 245x161(FPSX02766)</v>
          </cell>
          <cell r="M288">
            <v>0</v>
          </cell>
          <cell r="O288" t="str">
            <v>BAL</v>
          </cell>
          <cell r="P288">
            <v>10500</v>
          </cell>
          <cell r="Q288">
            <v>1</v>
          </cell>
          <cell r="R288">
            <v>10500</v>
          </cell>
          <cell r="S288" t="str">
            <v>KG</v>
          </cell>
          <cell r="T288">
            <v>2484.375</v>
          </cell>
          <cell r="U288">
            <v>214.9578195976639</v>
          </cell>
          <cell r="V288" t="e">
            <v>#N/A</v>
          </cell>
          <cell r="W288" t="str">
            <v>KG</v>
          </cell>
          <cell r="X288">
            <v>0</v>
          </cell>
          <cell r="Y288">
            <v>0</v>
          </cell>
          <cell r="Z288">
            <v>2484.375</v>
          </cell>
          <cell r="AA288" t="str">
            <v>KG</v>
          </cell>
          <cell r="AB288">
            <v>214.9578195976639</v>
          </cell>
          <cell r="AC288">
            <v>2484.375</v>
          </cell>
          <cell r="AD288">
            <v>214.9578195976639</v>
          </cell>
          <cell r="AE288" t="e">
            <v>#N/A</v>
          </cell>
          <cell r="AF288">
            <v>214.9578195976639</v>
          </cell>
          <cell r="AG288" t="e">
            <v>#N/A</v>
          </cell>
          <cell r="AH288" t="e">
            <v>#N/A</v>
          </cell>
          <cell r="AI288">
            <v>0</v>
          </cell>
          <cell r="AJ288">
            <v>0</v>
          </cell>
          <cell r="AK288" t="str">
            <v>Extrusion</v>
          </cell>
          <cell r="AL288">
            <v>6988.5468750000018</v>
          </cell>
          <cell r="AM288">
            <v>0</v>
          </cell>
          <cell r="AN288">
            <v>0</v>
          </cell>
          <cell r="AO288">
            <v>0</v>
          </cell>
        </row>
        <row r="289">
          <cell r="K289" t="str">
            <v>SO24-2627</v>
          </cell>
          <cell r="L289" t="str">
            <v>Non Stop Katori Tomato Flavour Rs 5/- (320X220)</v>
          </cell>
          <cell r="M289">
            <v>0</v>
          </cell>
          <cell r="O289" t="str">
            <v>BAL</v>
          </cell>
          <cell r="P289">
            <v>5000</v>
          </cell>
          <cell r="Q289">
            <v>1</v>
          </cell>
          <cell r="R289">
            <v>5000</v>
          </cell>
          <cell r="S289" t="str">
            <v>KG</v>
          </cell>
          <cell r="T289">
            <v>1159.9058312205723</v>
          </cell>
          <cell r="U289">
            <v>96.522079655535677</v>
          </cell>
          <cell r="V289" t="e">
            <v>#N/A</v>
          </cell>
          <cell r="W289" t="str">
            <v>KG</v>
          </cell>
          <cell r="X289">
            <v>0</v>
          </cell>
          <cell r="Y289">
            <v>0</v>
          </cell>
          <cell r="Z289">
            <v>1159.9058312205723</v>
          </cell>
          <cell r="AA289" t="str">
            <v>KG</v>
          </cell>
          <cell r="AB289">
            <v>96.522079655535677</v>
          </cell>
          <cell r="AC289">
            <v>1159.9058312205723</v>
          </cell>
          <cell r="AD289">
            <v>96.522079655535677</v>
          </cell>
          <cell r="AE289" t="e">
            <v>#N/A</v>
          </cell>
          <cell r="AF289">
            <v>96.522079655535677</v>
          </cell>
          <cell r="AG289" t="e">
            <v>#N/A</v>
          </cell>
          <cell r="AH289" t="e">
            <v>#N/A</v>
          </cell>
          <cell r="AI289">
            <v>0</v>
          </cell>
          <cell r="AJ289">
            <v>0</v>
          </cell>
          <cell r="AK289" t="str">
            <v>Extrusion</v>
          </cell>
          <cell r="AL289">
            <v>3153.9931184353495</v>
          </cell>
          <cell r="AM289">
            <v>0</v>
          </cell>
          <cell r="AN289">
            <v>0</v>
          </cell>
          <cell r="AO289">
            <v>0</v>
          </cell>
        </row>
        <row r="290">
          <cell r="K290" t="str">
            <v>SO24-2621</v>
          </cell>
          <cell r="L290" t="str">
            <v>Tara Enterprise Shidol pouch</v>
          </cell>
          <cell r="M290">
            <v>0</v>
          </cell>
          <cell r="O290" t="str">
            <v>BAL</v>
          </cell>
          <cell r="P290">
            <v>100</v>
          </cell>
          <cell r="Q290">
            <v>1</v>
          </cell>
          <cell r="R290">
            <v>100000</v>
          </cell>
          <cell r="S290" t="str">
            <v>NO</v>
          </cell>
          <cell r="T290" t="e">
            <v>#DIV/0!</v>
          </cell>
          <cell r="U290" t="e">
            <v>#DIV/0!</v>
          </cell>
          <cell r="V290" t="e">
            <v>#DIV/0!</v>
          </cell>
          <cell r="W290" t="str">
            <v>NO</v>
          </cell>
          <cell r="X290">
            <v>0</v>
          </cell>
          <cell r="Y290" t="e">
            <v>#DIV/0!</v>
          </cell>
          <cell r="Z290" t="e">
            <v>#DIV/0!</v>
          </cell>
          <cell r="AA290" t="str">
            <v>NO</v>
          </cell>
          <cell r="AB290" t="e">
            <v>#DIV/0!</v>
          </cell>
          <cell r="AC290" t="e">
            <v>#DIV/0!</v>
          </cell>
          <cell r="AD290" t="e">
            <v>#DIV/0!</v>
          </cell>
          <cell r="AE290" t="e">
            <v>#N/A</v>
          </cell>
          <cell r="AF290">
            <v>0</v>
          </cell>
          <cell r="AG290" t="e">
            <v>#N/A</v>
          </cell>
          <cell r="AH290" t="e">
            <v>#N/A</v>
          </cell>
          <cell r="AI290">
            <v>0</v>
          </cell>
          <cell r="AJ290">
            <v>0</v>
          </cell>
          <cell r="AK290">
            <v>0</v>
          </cell>
          <cell r="AL290" t="e">
            <v>#DIV/0!</v>
          </cell>
          <cell r="AM290">
            <v>0</v>
          </cell>
          <cell r="AN290">
            <v>0</v>
          </cell>
          <cell r="AO290">
            <v>0</v>
          </cell>
        </row>
        <row r="291">
          <cell r="K291" t="str">
            <v>SO24-2612</v>
          </cell>
          <cell r="L291" t="str">
            <v>AXOM TALES 2 IN 1(KHAJANA/MARBLE MAN)</v>
          </cell>
          <cell r="M291">
            <v>0</v>
          </cell>
          <cell r="O291" t="str">
            <v>BAL</v>
          </cell>
          <cell r="P291">
            <v>1000</v>
          </cell>
          <cell r="Q291">
            <v>1</v>
          </cell>
          <cell r="R291">
            <v>1000</v>
          </cell>
          <cell r="S291" t="str">
            <v>KG</v>
          </cell>
          <cell r="T291">
            <v>244.56521739130432</v>
          </cell>
          <cell r="U291">
            <v>14.239605088285549</v>
          </cell>
          <cell r="V291" t="e">
            <v>#N/A</v>
          </cell>
          <cell r="W291" t="str">
            <v>KG</v>
          </cell>
          <cell r="X291">
            <v>0</v>
          </cell>
          <cell r="Y291">
            <v>0</v>
          </cell>
          <cell r="Z291">
            <v>244.56521739130432</v>
          </cell>
          <cell r="AA291" t="str">
            <v>KG</v>
          </cell>
          <cell r="AB291">
            <v>14.239605088285549</v>
          </cell>
          <cell r="AC291">
            <v>244.56521739130432</v>
          </cell>
          <cell r="AD291">
            <v>14.239605088285549</v>
          </cell>
          <cell r="AE291" t="e">
            <v>#N/A</v>
          </cell>
          <cell r="AF291">
            <v>14.239605088285549</v>
          </cell>
          <cell r="AG291" t="e">
            <v>#N/A</v>
          </cell>
          <cell r="AH291" t="e">
            <v>#N/A</v>
          </cell>
          <cell r="AI291">
            <v>0</v>
          </cell>
          <cell r="AJ291">
            <v>0</v>
          </cell>
          <cell r="AK291">
            <v>0</v>
          </cell>
          <cell r="AL291">
            <v>629.44565217391278</v>
          </cell>
          <cell r="AM291">
            <v>0</v>
          </cell>
          <cell r="AN291">
            <v>0</v>
          </cell>
          <cell r="AO291">
            <v>0</v>
          </cell>
        </row>
        <row r="292">
          <cell r="K292" t="str">
            <v>SO24-2615</v>
          </cell>
          <cell r="L292" t="str">
            <v>AXOM TALES SWEET TOAST POUCH (Pink BG)</v>
          </cell>
          <cell r="M292">
            <v>0</v>
          </cell>
          <cell r="O292" t="str">
            <v>BAL</v>
          </cell>
          <cell r="P292">
            <v>1000</v>
          </cell>
          <cell r="Q292">
            <v>1</v>
          </cell>
          <cell r="R292">
            <v>1000</v>
          </cell>
          <cell r="S292" t="str">
            <v>KG</v>
          </cell>
          <cell r="T292">
            <v>266.39676113360315</v>
          </cell>
          <cell r="U292">
            <v>19.278966647387698</v>
          </cell>
          <cell r="V292" t="e">
            <v>#N/A</v>
          </cell>
          <cell r="W292" t="str">
            <v>KG</v>
          </cell>
          <cell r="X292">
            <v>0</v>
          </cell>
          <cell r="Y292">
            <v>0</v>
          </cell>
          <cell r="Z292">
            <v>266.39676113360315</v>
          </cell>
          <cell r="AA292" t="str">
            <v>KG</v>
          </cell>
          <cell r="AB292">
            <v>19.278966647387698</v>
          </cell>
          <cell r="AC292">
            <v>266.39676113360315</v>
          </cell>
          <cell r="AD292">
            <v>19.278966647387698</v>
          </cell>
          <cell r="AE292" t="e">
            <v>#N/A</v>
          </cell>
          <cell r="AF292">
            <v>0</v>
          </cell>
          <cell r="AG292" t="e">
            <v>#N/A</v>
          </cell>
          <cell r="AH292" t="e">
            <v>#N/A</v>
          </cell>
          <cell r="AI292">
            <v>0</v>
          </cell>
          <cell r="AJ292">
            <v>0</v>
          </cell>
          <cell r="AK292" t="str">
            <v>solv.Less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</row>
        <row r="293">
          <cell r="K293" t="str">
            <v>SO24-2637</v>
          </cell>
          <cell r="L293" t="str">
            <v>Standup Pouch with zipper Golaghat Tea 500gm(R1)</v>
          </cell>
          <cell r="M293">
            <v>0</v>
          </cell>
          <cell r="O293" t="str">
            <v>BAL</v>
          </cell>
          <cell r="P293">
            <v>745</v>
          </cell>
          <cell r="Q293">
            <v>14.9</v>
          </cell>
          <cell r="R293">
            <v>50000</v>
          </cell>
          <cell r="S293" t="str">
            <v>NO</v>
          </cell>
          <cell r="T293">
            <v>121.60240137221268</v>
          </cell>
          <cell r="U293">
            <v>9.7719705377862969</v>
          </cell>
          <cell r="V293">
            <v>0</v>
          </cell>
          <cell r="W293" t="str">
            <v>NO</v>
          </cell>
          <cell r="X293">
            <v>0</v>
          </cell>
          <cell r="Y293">
            <v>0</v>
          </cell>
          <cell r="Z293">
            <v>121.60240137221268</v>
          </cell>
          <cell r="AA293" t="str">
            <v>NO</v>
          </cell>
          <cell r="AB293">
            <v>9.7719705377862969</v>
          </cell>
          <cell r="AC293">
            <v>121.60240137221268</v>
          </cell>
          <cell r="AD293">
            <v>9.7719705377862969</v>
          </cell>
          <cell r="AE293">
            <v>0.66500000000000004</v>
          </cell>
          <cell r="AF293">
            <v>0</v>
          </cell>
          <cell r="AG293">
            <v>0</v>
          </cell>
          <cell r="AH293">
            <v>19.543941075572594</v>
          </cell>
          <cell r="AI293">
            <v>0</v>
          </cell>
          <cell r="AJ293">
            <v>0</v>
          </cell>
          <cell r="AK293" t="str">
            <v>solv.Less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</row>
        <row r="294">
          <cell r="K294" t="str">
            <v>SO24-2645</v>
          </cell>
          <cell r="L294" t="str">
            <v>CPM Wai Wai Jumbo(4010000835)</v>
          </cell>
          <cell r="M294">
            <v>0</v>
          </cell>
          <cell r="O294" t="str">
            <v>BAL</v>
          </cell>
          <cell r="P294">
            <v>2000</v>
          </cell>
          <cell r="Q294">
            <v>1</v>
          </cell>
          <cell r="R294">
            <v>2000</v>
          </cell>
          <cell r="S294" t="str">
            <v>KG</v>
          </cell>
          <cell r="T294">
            <v>893.72093023255798</v>
          </cell>
          <cell r="U294">
            <v>57.119543043655646</v>
          </cell>
          <cell r="V294" t="e">
            <v>#N/A</v>
          </cell>
          <cell r="W294" t="str">
            <v>KG</v>
          </cell>
          <cell r="X294">
            <v>0</v>
          </cell>
          <cell r="Y294">
            <v>0</v>
          </cell>
          <cell r="Z294">
            <v>893.72093023255798</v>
          </cell>
          <cell r="AA294" t="str">
            <v>KG</v>
          </cell>
          <cell r="AB294">
            <v>57.119543043655646</v>
          </cell>
          <cell r="AC294">
            <v>893.72093023255798</v>
          </cell>
          <cell r="AD294">
            <v>57.119543043655646</v>
          </cell>
          <cell r="AE294" t="e">
            <v>#N/A</v>
          </cell>
          <cell r="AF294">
            <v>0</v>
          </cell>
          <cell r="AG294" t="e">
            <v>#N/A</v>
          </cell>
          <cell r="AH294" t="e">
            <v>#N/A</v>
          </cell>
          <cell r="AI294">
            <v>0</v>
          </cell>
          <cell r="AJ294">
            <v>0</v>
          </cell>
          <cell r="AK294" t="str">
            <v>solv.Less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</row>
        <row r="295">
          <cell r="K295" t="str">
            <v>SO24-2646</v>
          </cell>
          <cell r="L295" t="str">
            <v>SPM Wai Wai Ch Rintin(4010000213)</v>
          </cell>
          <cell r="M295">
            <v>0</v>
          </cell>
          <cell r="O295" t="str">
            <v>BAL</v>
          </cell>
          <cell r="P295">
            <v>2000</v>
          </cell>
          <cell r="Q295">
            <v>1</v>
          </cell>
          <cell r="R295">
            <v>2000</v>
          </cell>
          <cell r="S295" t="str">
            <v>KG</v>
          </cell>
          <cell r="T295">
            <v>879.52941176470574</v>
          </cell>
          <cell r="U295">
            <v>57.123427405644335</v>
          </cell>
          <cell r="V295" t="e">
            <v>#N/A</v>
          </cell>
          <cell r="W295" t="str">
            <v>KG</v>
          </cell>
          <cell r="X295">
            <v>0</v>
          </cell>
          <cell r="Y295">
            <v>0</v>
          </cell>
          <cell r="Z295">
            <v>879.52941176470574</v>
          </cell>
          <cell r="AA295" t="str">
            <v>KG</v>
          </cell>
          <cell r="AB295">
            <v>57.123427405644335</v>
          </cell>
          <cell r="AC295">
            <v>879.52941176470574</v>
          </cell>
          <cell r="AD295">
            <v>57.123427405644335</v>
          </cell>
          <cell r="AE295" t="e">
            <v>#N/A</v>
          </cell>
          <cell r="AF295">
            <v>0</v>
          </cell>
          <cell r="AG295" t="e">
            <v>#N/A</v>
          </cell>
          <cell r="AH295" t="e">
            <v>#N/A</v>
          </cell>
          <cell r="AI295">
            <v>0</v>
          </cell>
          <cell r="AJ295">
            <v>0</v>
          </cell>
          <cell r="AK295" t="str">
            <v>solv.Less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</row>
        <row r="296">
          <cell r="K296" t="str">
            <v>SO24-2647</v>
          </cell>
          <cell r="L296" t="str">
            <v>SPM Wai Wai X-Press MSD 35g(4010001120)</v>
          </cell>
          <cell r="M296">
            <v>0</v>
          </cell>
          <cell r="O296" t="str">
            <v>BAL</v>
          </cell>
          <cell r="P296">
            <v>2000</v>
          </cell>
          <cell r="Q296">
            <v>1</v>
          </cell>
          <cell r="R296">
            <v>2000</v>
          </cell>
          <cell r="S296" t="str">
            <v>KG</v>
          </cell>
          <cell r="T296">
            <v>936.3402061855669</v>
          </cell>
          <cell r="U296">
            <v>66.409461767124156</v>
          </cell>
          <cell r="V296" t="e">
            <v>#N/A</v>
          </cell>
          <cell r="W296" t="str">
            <v>KG</v>
          </cell>
          <cell r="X296">
            <v>0</v>
          </cell>
          <cell r="Y296">
            <v>0</v>
          </cell>
          <cell r="Z296">
            <v>936.3402061855669</v>
          </cell>
          <cell r="AA296" t="str">
            <v>KG</v>
          </cell>
          <cell r="AB296">
            <v>66.409461767124156</v>
          </cell>
          <cell r="AC296">
            <v>936.3402061855669</v>
          </cell>
          <cell r="AD296">
            <v>66.409461767124156</v>
          </cell>
          <cell r="AE296" t="e">
            <v>#N/A</v>
          </cell>
          <cell r="AF296">
            <v>0</v>
          </cell>
          <cell r="AG296" t="e">
            <v>#N/A</v>
          </cell>
          <cell r="AH296" t="e">
            <v>#N/A</v>
          </cell>
          <cell r="AI296">
            <v>0</v>
          </cell>
          <cell r="AJ296">
            <v>0</v>
          </cell>
          <cell r="AK296" t="str">
            <v>solv.Less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</row>
        <row r="297">
          <cell r="K297" t="str">
            <v>SO24-2648</v>
          </cell>
          <cell r="L297" t="str">
            <v>Wrapper Mama Ch Bh Hot &amp; Spicy 28gm(4010000309)</v>
          </cell>
          <cell r="M297">
            <v>0</v>
          </cell>
          <cell r="O297" t="str">
            <v>BAL</v>
          </cell>
          <cell r="P297">
            <v>15000</v>
          </cell>
          <cell r="Q297">
            <v>1</v>
          </cell>
          <cell r="R297">
            <v>15000</v>
          </cell>
          <cell r="S297" t="str">
            <v>KG</v>
          </cell>
          <cell r="T297">
            <v>3944.0734557595988</v>
          </cell>
          <cell r="U297">
            <v>219.11519198664439</v>
          </cell>
          <cell r="V297" t="e">
            <v>#N/A</v>
          </cell>
          <cell r="W297" t="str">
            <v>KG</v>
          </cell>
          <cell r="X297">
            <v>0</v>
          </cell>
          <cell r="Y297">
            <v>0</v>
          </cell>
          <cell r="Z297">
            <v>3944.0734557595988</v>
          </cell>
          <cell r="AA297" t="str">
            <v>KG</v>
          </cell>
          <cell r="AB297">
            <v>219.11519198664439</v>
          </cell>
          <cell r="AC297">
            <v>3944.0734557595988</v>
          </cell>
          <cell r="AD297">
            <v>219.11519198664439</v>
          </cell>
          <cell r="AE297" t="e">
            <v>#N/A</v>
          </cell>
          <cell r="AF297">
            <v>219.11519198664439</v>
          </cell>
          <cell r="AG297" t="e">
            <v>#N/A</v>
          </cell>
          <cell r="AH297" t="e">
            <v>#N/A</v>
          </cell>
          <cell r="AI297">
            <v>0</v>
          </cell>
          <cell r="AJ297">
            <v>0</v>
          </cell>
          <cell r="AK297" t="str">
            <v>Extrusion</v>
          </cell>
          <cell r="AL297">
            <v>10150.993322203671</v>
          </cell>
          <cell r="AM297">
            <v>0</v>
          </cell>
          <cell r="AN297">
            <v>0</v>
          </cell>
          <cell r="AO297">
            <v>0</v>
          </cell>
        </row>
        <row r="298">
          <cell r="K298" t="str">
            <v>SO24-2649</v>
          </cell>
          <cell r="L298" t="str">
            <v>Wrapper Wai Wai Mama Ch Bhujiya Flat-7g(4010000382)</v>
          </cell>
          <cell r="M298">
            <v>0</v>
          </cell>
          <cell r="O298" t="str">
            <v>BAL</v>
          </cell>
          <cell r="P298">
            <v>3000</v>
          </cell>
          <cell r="Q298">
            <v>1</v>
          </cell>
          <cell r="R298">
            <v>3000</v>
          </cell>
          <cell r="S298" t="str">
            <v>KG</v>
          </cell>
          <cell r="T298">
            <v>1168.1249999999998</v>
          </cell>
          <cell r="U298">
            <v>62.203791469194321</v>
          </cell>
          <cell r="V298" t="e">
            <v>#N/A</v>
          </cell>
          <cell r="W298" t="str">
            <v>KG</v>
          </cell>
          <cell r="X298">
            <v>0</v>
          </cell>
          <cell r="Y298">
            <v>0</v>
          </cell>
          <cell r="Z298">
            <v>1168.1249999999998</v>
          </cell>
          <cell r="AA298" t="str">
            <v>KG</v>
          </cell>
          <cell r="AB298">
            <v>62.203791469194321</v>
          </cell>
          <cell r="AC298">
            <v>1168.1249999999998</v>
          </cell>
          <cell r="AD298">
            <v>62.203791469194321</v>
          </cell>
          <cell r="AE298" t="e">
            <v>#N/A</v>
          </cell>
          <cell r="AF298">
            <v>0</v>
          </cell>
          <cell r="AG298" t="e">
            <v>#N/A</v>
          </cell>
          <cell r="AH298" t="e">
            <v>#N/A</v>
          </cell>
          <cell r="AI298">
            <v>0</v>
          </cell>
          <cell r="AJ298">
            <v>0</v>
          </cell>
          <cell r="AK298" t="str">
            <v>solv.Less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</row>
        <row r="299">
          <cell r="K299" t="str">
            <v>SO24-2650</v>
          </cell>
          <cell r="L299" t="str">
            <v>Wrapper Wai Wai Rintin Bhuj Punte Ch 7gm(4010000354)</v>
          </cell>
          <cell r="M299">
            <v>0</v>
          </cell>
          <cell r="O299" t="str">
            <v>BAL</v>
          </cell>
          <cell r="P299">
            <v>3000</v>
          </cell>
          <cell r="Q299">
            <v>1</v>
          </cell>
          <cell r="R299">
            <v>3000</v>
          </cell>
          <cell r="S299" t="str">
            <v>KG</v>
          </cell>
          <cell r="T299">
            <v>1168.1249999999998</v>
          </cell>
          <cell r="U299">
            <v>59.389140271493211</v>
          </cell>
          <cell r="V299" t="e">
            <v>#N/A</v>
          </cell>
          <cell r="W299" t="str">
            <v>KG</v>
          </cell>
          <cell r="X299">
            <v>0</v>
          </cell>
          <cell r="Y299">
            <v>0</v>
          </cell>
          <cell r="Z299">
            <v>1168.1249999999998</v>
          </cell>
          <cell r="AA299" t="str">
            <v>KG</v>
          </cell>
          <cell r="AB299">
            <v>59.389140271493211</v>
          </cell>
          <cell r="AC299">
            <v>1168.1249999999998</v>
          </cell>
          <cell r="AD299">
            <v>59.389140271493211</v>
          </cell>
          <cell r="AE299" t="e">
            <v>#N/A</v>
          </cell>
          <cell r="AF299">
            <v>0</v>
          </cell>
          <cell r="AG299" t="e">
            <v>#N/A</v>
          </cell>
          <cell r="AH299" t="e">
            <v>#N/A</v>
          </cell>
          <cell r="AI299">
            <v>0</v>
          </cell>
          <cell r="AJ299">
            <v>0</v>
          </cell>
          <cell r="AK299" t="str">
            <v>solv.Less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</row>
        <row r="300">
          <cell r="K300" t="str">
            <v>SO24-2651</v>
          </cell>
          <cell r="L300" t="str">
            <v>Mama Punte Triangular (4010000383)</v>
          </cell>
          <cell r="M300">
            <v>0</v>
          </cell>
          <cell r="O300" t="str">
            <v>BAL</v>
          </cell>
          <cell r="P300">
            <v>3000</v>
          </cell>
          <cell r="Q300">
            <v>1</v>
          </cell>
          <cell r="R300">
            <v>3000</v>
          </cell>
          <cell r="S300" t="str">
            <v>KG</v>
          </cell>
          <cell r="T300">
            <v>1168.1249999999998</v>
          </cell>
          <cell r="U300">
            <v>59.389140271493211</v>
          </cell>
          <cell r="V300" t="e">
            <v>#N/A</v>
          </cell>
          <cell r="W300" t="str">
            <v>KG</v>
          </cell>
          <cell r="X300">
            <v>0</v>
          </cell>
          <cell r="Y300">
            <v>0</v>
          </cell>
          <cell r="Z300">
            <v>1168.1249999999998</v>
          </cell>
          <cell r="AA300" t="str">
            <v>KG</v>
          </cell>
          <cell r="AB300">
            <v>59.389140271493211</v>
          </cell>
          <cell r="AC300">
            <v>1168.1249999999998</v>
          </cell>
          <cell r="AD300">
            <v>59.389140271493211</v>
          </cell>
          <cell r="AE300" t="e">
            <v>#N/A</v>
          </cell>
          <cell r="AF300">
            <v>0</v>
          </cell>
          <cell r="AG300" t="e">
            <v>#N/A</v>
          </cell>
          <cell r="AH300" t="e">
            <v>#N/A</v>
          </cell>
          <cell r="AI300">
            <v>0</v>
          </cell>
          <cell r="AJ300">
            <v>0</v>
          </cell>
          <cell r="AK300" t="str">
            <v>solv.Less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</row>
        <row r="301">
          <cell r="K301" t="str">
            <v>SO24-2652</v>
          </cell>
          <cell r="L301" t="str">
            <v>CPM Red(4010000138)</v>
          </cell>
          <cell r="M301">
            <v>0</v>
          </cell>
          <cell r="O301" t="str">
            <v>BAL</v>
          </cell>
          <cell r="P301">
            <v>2000</v>
          </cell>
          <cell r="Q301">
            <v>1</v>
          </cell>
          <cell r="R301">
            <v>2000</v>
          </cell>
          <cell r="S301" t="str">
            <v>KG</v>
          </cell>
          <cell r="T301">
            <v>864.99999999999977</v>
          </cell>
          <cell r="U301">
            <v>58.479532163742689</v>
          </cell>
          <cell r="V301" t="e">
            <v>#N/A</v>
          </cell>
          <cell r="W301" t="str">
            <v>KG</v>
          </cell>
          <cell r="X301">
            <v>0</v>
          </cell>
          <cell r="Y301">
            <v>0</v>
          </cell>
          <cell r="Z301">
            <v>864.99999999999977</v>
          </cell>
          <cell r="AA301" t="str">
            <v>KG</v>
          </cell>
          <cell r="AB301">
            <v>58.479532163742689</v>
          </cell>
          <cell r="AC301">
            <v>864.99999999999977</v>
          </cell>
          <cell r="AD301">
            <v>58.479532163742689</v>
          </cell>
          <cell r="AE301" t="e">
            <v>#N/A</v>
          </cell>
          <cell r="AF301">
            <v>0</v>
          </cell>
          <cell r="AG301" t="e">
            <v>#N/A</v>
          </cell>
          <cell r="AH301" t="e">
            <v>#N/A</v>
          </cell>
          <cell r="AI301">
            <v>0</v>
          </cell>
          <cell r="AJ301">
            <v>0</v>
          </cell>
          <cell r="AK301" t="str">
            <v>solv.Less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</row>
        <row r="302">
          <cell r="K302" t="str">
            <v>SO24-2653</v>
          </cell>
          <cell r="L302" t="str">
            <v>SPM High Five Ch(4010000206)</v>
          </cell>
          <cell r="M302">
            <v>0</v>
          </cell>
          <cell r="O302" t="str">
            <v>BAL</v>
          </cell>
          <cell r="P302">
            <v>2000</v>
          </cell>
          <cell r="Q302">
            <v>1</v>
          </cell>
          <cell r="R302">
            <v>2000</v>
          </cell>
          <cell r="S302" t="str">
            <v>KG</v>
          </cell>
          <cell r="T302">
            <v>879.52941176470574</v>
          </cell>
          <cell r="U302">
            <v>57.123427405644335</v>
          </cell>
          <cell r="V302" t="e">
            <v>#N/A</v>
          </cell>
          <cell r="W302" t="str">
            <v>KG</v>
          </cell>
          <cell r="X302">
            <v>0</v>
          </cell>
          <cell r="Y302">
            <v>0</v>
          </cell>
          <cell r="Z302">
            <v>879.52941176470574</v>
          </cell>
          <cell r="AA302" t="str">
            <v>KG</v>
          </cell>
          <cell r="AB302">
            <v>57.123427405644335</v>
          </cell>
          <cell r="AC302">
            <v>879.52941176470574</v>
          </cell>
          <cell r="AD302">
            <v>57.123427405644335</v>
          </cell>
          <cell r="AE302" t="e">
            <v>#N/A</v>
          </cell>
          <cell r="AF302">
            <v>0</v>
          </cell>
          <cell r="AG302" t="e">
            <v>#N/A</v>
          </cell>
          <cell r="AH302" t="e">
            <v>#N/A</v>
          </cell>
          <cell r="AI302">
            <v>0</v>
          </cell>
          <cell r="AJ302">
            <v>0</v>
          </cell>
          <cell r="AK302" t="str">
            <v>solv.Less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</row>
        <row r="303">
          <cell r="K303" t="str">
            <v>SO24-2654</v>
          </cell>
          <cell r="L303" t="str">
            <v>OSPM Wai Wai Ch Mini 35g (4010000257)</v>
          </cell>
          <cell r="M303">
            <v>0</v>
          </cell>
          <cell r="O303" t="str">
            <v>BAL</v>
          </cell>
          <cell r="P303">
            <v>10000</v>
          </cell>
          <cell r="Q303">
            <v>1</v>
          </cell>
          <cell r="R303">
            <v>10000</v>
          </cell>
          <cell r="S303" t="str">
            <v>KG</v>
          </cell>
          <cell r="T303">
            <v>3255.3763440860207</v>
          </cell>
          <cell r="U303">
            <v>192.99696719051556</v>
          </cell>
          <cell r="V303" t="e">
            <v>#N/A</v>
          </cell>
          <cell r="W303" t="str">
            <v>KG</v>
          </cell>
          <cell r="X303">
            <v>0</v>
          </cell>
          <cell r="Y303">
            <v>0</v>
          </cell>
          <cell r="Z303">
            <v>3255.3763440860207</v>
          </cell>
          <cell r="AA303" t="str">
            <v>KG</v>
          </cell>
          <cell r="AB303">
            <v>192.99696719051556</v>
          </cell>
          <cell r="AC303">
            <v>3255.3763440860207</v>
          </cell>
          <cell r="AD303">
            <v>192.99696719051556</v>
          </cell>
          <cell r="AE303" t="e">
            <v>#N/A</v>
          </cell>
          <cell r="AF303">
            <v>0</v>
          </cell>
          <cell r="AG303" t="e">
            <v>#N/A</v>
          </cell>
          <cell r="AH303" t="e">
            <v>#N/A</v>
          </cell>
          <cell r="AI303">
            <v>0</v>
          </cell>
          <cell r="AJ303">
            <v>0</v>
          </cell>
          <cell r="AK303" t="str">
            <v>solv.Less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</row>
        <row r="304">
          <cell r="K304" t="str">
            <v>SO24-2655</v>
          </cell>
          <cell r="L304" t="str">
            <v>OSPM Mimi Tasty Masala Ch(4010000271)</v>
          </cell>
          <cell r="M304">
            <v>0</v>
          </cell>
          <cell r="O304" t="str">
            <v>BAL</v>
          </cell>
          <cell r="P304">
            <v>10000</v>
          </cell>
          <cell r="Q304">
            <v>1</v>
          </cell>
          <cell r="R304">
            <v>10000</v>
          </cell>
          <cell r="S304" t="str">
            <v>KG</v>
          </cell>
          <cell r="T304">
            <v>3382.9225352112667</v>
          </cell>
          <cell r="U304">
            <v>189.59913326110507</v>
          </cell>
          <cell r="V304" t="e">
            <v>#N/A</v>
          </cell>
          <cell r="W304" t="str">
            <v>KG</v>
          </cell>
          <cell r="X304">
            <v>0</v>
          </cell>
          <cell r="Y304">
            <v>0</v>
          </cell>
          <cell r="Z304">
            <v>3382.9225352112667</v>
          </cell>
          <cell r="AA304" t="str">
            <v>KG</v>
          </cell>
          <cell r="AB304">
            <v>189.59913326110507</v>
          </cell>
          <cell r="AC304">
            <v>3382.9225352112667</v>
          </cell>
          <cell r="AD304">
            <v>189.59913326110507</v>
          </cell>
          <cell r="AE304" t="e">
            <v>#N/A</v>
          </cell>
          <cell r="AF304">
            <v>0</v>
          </cell>
          <cell r="AG304" t="e">
            <v>#N/A</v>
          </cell>
          <cell r="AH304" t="e">
            <v>#N/A</v>
          </cell>
          <cell r="AI304">
            <v>0</v>
          </cell>
          <cell r="AJ304">
            <v>0</v>
          </cell>
          <cell r="AK304" t="str">
            <v>solv.Less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</row>
        <row r="305">
          <cell r="K305" t="str">
            <v>SO24-2656</v>
          </cell>
          <cell r="L305" t="str">
            <v>OSPM Wai Wai Ch(4010000259)</v>
          </cell>
          <cell r="M305">
            <v>0</v>
          </cell>
          <cell r="O305" t="str">
            <v>BAL</v>
          </cell>
          <cell r="P305">
            <v>10000</v>
          </cell>
          <cell r="Q305">
            <v>1</v>
          </cell>
          <cell r="R305">
            <v>10000</v>
          </cell>
          <cell r="S305" t="str">
            <v>KG</v>
          </cell>
          <cell r="T305">
            <v>3382.9225352112667</v>
          </cell>
          <cell r="U305">
            <v>168.05377720870675</v>
          </cell>
          <cell r="V305" t="e">
            <v>#N/A</v>
          </cell>
          <cell r="W305" t="str">
            <v>KG</v>
          </cell>
          <cell r="X305">
            <v>0</v>
          </cell>
          <cell r="Y305">
            <v>0</v>
          </cell>
          <cell r="Z305">
            <v>3382.9225352112667</v>
          </cell>
          <cell r="AA305" t="str">
            <v>KG</v>
          </cell>
          <cell r="AB305">
            <v>168.05377720870675</v>
          </cell>
          <cell r="AC305">
            <v>3382.9225352112667</v>
          </cell>
          <cell r="AD305">
            <v>168.05377720870675</v>
          </cell>
          <cell r="AE305" t="e">
            <v>#N/A</v>
          </cell>
          <cell r="AF305">
            <v>0</v>
          </cell>
          <cell r="AG305" t="e">
            <v>#N/A</v>
          </cell>
          <cell r="AH305" t="e">
            <v>#N/A</v>
          </cell>
          <cell r="AI305">
            <v>0</v>
          </cell>
          <cell r="AJ305">
            <v>0</v>
          </cell>
          <cell r="AK305" t="str">
            <v>solv.Less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</row>
        <row r="306">
          <cell r="K306" t="str">
            <v>SO24-2657</v>
          </cell>
          <cell r="L306" t="str">
            <v>Wrapper Wai Wai Ch 70g(4010000528)</v>
          </cell>
          <cell r="M306">
            <v>0</v>
          </cell>
          <cell r="O306" t="str">
            <v>BAL</v>
          </cell>
          <cell r="P306">
            <v>10000</v>
          </cell>
          <cell r="Q306">
            <v>1</v>
          </cell>
          <cell r="R306">
            <v>10000</v>
          </cell>
          <cell r="S306" t="str">
            <v>KG</v>
          </cell>
          <cell r="T306">
            <v>4705.8823529411757</v>
          </cell>
          <cell r="U306">
            <v>268.60059092130001</v>
          </cell>
          <cell r="V306" t="e">
            <v>#N/A</v>
          </cell>
          <cell r="W306" t="str">
            <v>KG</v>
          </cell>
          <cell r="X306">
            <v>0</v>
          </cell>
          <cell r="Y306">
            <v>0</v>
          </cell>
          <cell r="Z306">
            <v>4705.8823529411757</v>
          </cell>
          <cell r="AA306" t="str">
            <v>KG</v>
          </cell>
          <cell r="AB306">
            <v>268.60059092130001</v>
          </cell>
          <cell r="AC306">
            <v>4705.8823529411757</v>
          </cell>
          <cell r="AD306">
            <v>268.60059092130001</v>
          </cell>
          <cell r="AE306" t="e">
            <v>#N/A</v>
          </cell>
          <cell r="AF306">
            <v>0</v>
          </cell>
          <cell r="AG306" t="e">
            <v>#N/A</v>
          </cell>
          <cell r="AH306" t="e">
            <v>#N/A</v>
          </cell>
          <cell r="AI306">
            <v>0</v>
          </cell>
          <cell r="AJ306">
            <v>0</v>
          </cell>
          <cell r="AK306" t="str">
            <v>solv.Less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K307" t="str">
            <v>SO24-2679</v>
          </cell>
          <cell r="L307" t="str">
            <v>Bikaji Potato Chips Tomato Salsa 5/- R1</v>
          </cell>
          <cell r="M307">
            <v>0</v>
          </cell>
          <cell r="O307" t="str">
            <v>BAL</v>
          </cell>
          <cell r="P307">
            <v>3000</v>
          </cell>
          <cell r="Q307">
            <v>1</v>
          </cell>
          <cell r="R307">
            <v>3000</v>
          </cell>
          <cell r="S307" t="str">
            <v>KG</v>
          </cell>
          <cell r="T307">
            <v>764.31575541895825</v>
          </cell>
          <cell r="U307">
            <v>56.932272284466166</v>
          </cell>
          <cell r="V307" t="e">
            <v>#N/A</v>
          </cell>
          <cell r="W307" t="str">
            <v>KG</v>
          </cell>
          <cell r="X307">
            <v>0</v>
          </cell>
          <cell r="Y307">
            <v>0</v>
          </cell>
          <cell r="Z307">
            <v>764.31575541895825</v>
          </cell>
          <cell r="AA307" t="str">
            <v>KG</v>
          </cell>
          <cell r="AB307">
            <v>56.932272284466166</v>
          </cell>
          <cell r="AC307">
            <v>764.31575541895825</v>
          </cell>
          <cell r="AD307">
            <v>56.932272284466166</v>
          </cell>
          <cell r="AE307" t="e">
            <v>#N/A</v>
          </cell>
          <cell r="AF307">
            <v>56.932272284466166</v>
          </cell>
          <cell r="AG307" t="e">
            <v>#N/A</v>
          </cell>
          <cell r="AH307" t="e">
            <v>#N/A</v>
          </cell>
          <cell r="AI307">
            <v>0</v>
          </cell>
          <cell r="AJ307">
            <v>0</v>
          </cell>
          <cell r="AK307" t="str">
            <v>Extrusion</v>
          </cell>
          <cell r="AL307">
            <v>2016.5706890973795</v>
          </cell>
          <cell r="AM307">
            <v>0</v>
          </cell>
          <cell r="AN307">
            <v>0</v>
          </cell>
          <cell r="AO307">
            <v>0</v>
          </cell>
        </row>
        <row r="308">
          <cell r="K308" t="str">
            <v>SO24-2666</v>
          </cell>
          <cell r="L308" t="str">
            <v>BIKAJI MOONG DALL Rs.5(205MM)R1</v>
          </cell>
          <cell r="M308" t="str">
            <v>C24-2667</v>
          </cell>
          <cell r="O308" t="str">
            <v>BAL</v>
          </cell>
          <cell r="P308">
            <v>3000</v>
          </cell>
          <cell r="Q308">
            <v>1</v>
          </cell>
          <cell r="R308">
            <v>3000</v>
          </cell>
          <cell r="S308" t="str">
            <v>KG</v>
          </cell>
          <cell r="T308">
            <v>764.31575541895825</v>
          </cell>
          <cell r="U308">
            <v>48.527984471044967</v>
          </cell>
          <cell r="V308" t="e">
            <v>#N/A</v>
          </cell>
          <cell r="W308" t="str">
            <v>KG</v>
          </cell>
          <cell r="X308">
            <v>0</v>
          </cell>
          <cell r="Y308">
            <v>0</v>
          </cell>
          <cell r="Z308">
            <v>764.31575541895825</v>
          </cell>
          <cell r="AA308" t="str">
            <v>KG</v>
          </cell>
          <cell r="AB308">
            <v>48.527984471044967</v>
          </cell>
          <cell r="AC308">
            <v>764.31575541895825</v>
          </cell>
          <cell r="AD308">
            <v>48.527984471044967</v>
          </cell>
          <cell r="AE308" t="e">
            <v>#N/A</v>
          </cell>
          <cell r="AF308">
            <v>48.527984471044967</v>
          </cell>
          <cell r="AG308" t="e">
            <v>#N/A</v>
          </cell>
          <cell r="AH308" t="e">
            <v>#N/A</v>
          </cell>
          <cell r="AI308">
            <v>0</v>
          </cell>
          <cell r="AJ308">
            <v>0</v>
          </cell>
          <cell r="AK308" t="str">
            <v>Extrusion</v>
          </cell>
          <cell r="AL308">
            <v>2016.570689097379</v>
          </cell>
          <cell r="AM308">
            <v>0</v>
          </cell>
          <cell r="AN308">
            <v>0</v>
          </cell>
          <cell r="AO308">
            <v>0</v>
          </cell>
        </row>
        <row r="309">
          <cell r="K309" t="str">
            <v>SO24-2674</v>
          </cell>
          <cell r="L309" t="str">
            <v>BIKAJI NAVRATTAN MIX SUB KUCH RS 5/-(205MM)</v>
          </cell>
          <cell r="M309" t="str">
            <v>C24-2675</v>
          </cell>
          <cell r="O309" t="str">
            <v>BAL</v>
          </cell>
          <cell r="P309">
            <v>2000</v>
          </cell>
          <cell r="Q309">
            <v>1</v>
          </cell>
          <cell r="R309">
            <v>2000</v>
          </cell>
          <cell r="S309" t="str">
            <v>KG</v>
          </cell>
          <cell r="T309">
            <v>509.5438369459722</v>
          </cell>
          <cell r="U309">
            <v>32.351989647363311</v>
          </cell>
          <cell r="V309" t="e">
            <v>#N/A</v>
          </cell>
          <cell r="W309" t="str">
            <v>KG</v>
          </cell>
          <cell r="X309">
            <v>0</v>
          </cell>
          <cell r="Y309">
            <v>0</v>
          </cell>
          <cell r="Z309">
            <v>509.5438369459722</v>
          </cell>
          <cell r="AA309" t="str">
            <v>KG</v>
          </cell>
          <cell r="AB309">
            <v>32.351989647363311</v>
          </cell>
          <cell r="AC309">
            <v>509.5438369459722</v>
          </cell>
          <cell r="AD309">
            <v>32.351989647363311</v>
          </cell>
          <cell r="AE309" t="e">
            <v>#N/A</v>
          </cell>
          <cell r="AF309">
            <v>32.351989647363311</v>
          </cell>
          <cell r="AG309" t="e">
            <v>#N/A</v>
          </cell>
          <cell r="AH309" t="e">
            <v>#N/A</v>
          </cell>
          <cell r="AI309">
            <v>0</v>
          </cell>
          <cell r="AJ309">
            <v>0</v>
          </cell>
          <cell r="AK309" t="str">
            <v>Extrusion</v>
          </cell>
          <cell r="AL309">
            <v>1344.3804593982527</v>
          </cell>
          <cell r="AM309">
            <v>0</v>
          </cell>
          <cell r="AN309">
            <v>0</v>
          </cell>
          <cell r="AO309">
            <v>0</v>
          </cell>
        </row>
        <row r="310">
          <cell r="K310" t="str">
            <v>SO24-2676</v>
          </cell>
          <cell r="L310" t="str">
            <v>Bikaji Navrattan Mix Sub Kuch 200Gm-(320MM)</v>
          </cell>
          <cell r="M310" t="str">
            <v>C24-2677</v>
          </cell>
          <cell r="O310" t="str">
            <v>BAL</v>
          </cell>
          <cell r="P310">
            <v>2000</v>
          </cell>
          <cell r="Q310">
            <v>1</v>
          </cell>
          <cell r="R310">
            <v>2000</v>
          </cell>
          <cell r="S310" t="str">
            <v>KG</v>
          </cell>
          <cell r="T310">
            <v>443.03797468354435</v>
          </cell>
          <cell r="U310">
            <v>29.985649724774575</v>
          </cell>
          <cell r="V310" t="e">
            <v>#N/A</v>
          </cell>
          <cell r="W310" t="str">
            <v>KG</v>
          </cell>
          <cell r="X310">
            <v>0</v>
          </cell>
          <cell r="Y310">
            <v>0</v>
          </cell>
          <cell r="Z310">
            <v>443.03797468354435</v>
          </cell>
          <cell r="AA310" t="str">
            <v>KG</v>
          </cell>
          <cell r="AB310">
            <v>29.985649724774575</v>
          </cell>
          <cell r="AC310">
            <v>443.03797468354435</v>
          </cell>
          <cell r="AD310">
            <v>29.985649724774575</v>
          </cell>
          <cell r="AE310" t="e">
            <v>#N/A</v>
          </cell>
          <cell r="AF310">
            <v>29.985649724774575</v>
          </cell>
          <cell r="AG310" t="e">
            <v>#N/A</v>
          </cell>
          <cell r="AH310" t="e">
            <v>#N/A</v>
          </cell>
          <cell r="AI310">
            <v>0</v>
          </cell>
          <cell r="AJ310">
            <v>0</v>
          </cell>
          <cell r="AK310" t="str">
            <v>Extrusion</v>
          </cell>
          <cell r="AL310">
            <v>1197.5611814345991</v>
          </cell>
          <cell r="AM310">
            <v>0</v>
          </cell>
          <cell r="AN310">
            <v>0</v>
          </cell>
          <cell r="AO310">
            <v>0</v>
          </cell>
        </row>
        <row r="311">
          <cell r="K311" t="str">
            <v>SO24-2680</v>
          </cell>
          <cell r="L311" t="str">
            <v>BIKAJI MOONG DALL Rs.5(205MM)54Gsm R2</v>
          </cell>
          <cell r="M311">
            <v>0</v>
          </cell>
          <cell r="O311" t="str">
            <v>BAL</v>
          </cell>
          <cell r="P311">
            <v>3000</v>
          </cell>
          <cell r="Q311">
            <v>1</v>
          </cell>
          <cell r="R311">
            <v>3000</v>
          </cell>
          <cell r="S311" t="str">
            <v>KG</v>
          </cell>
          <cell r="T311">
            <v>764.31575541895825</v>
          </cell>
          <cell r="U311">
            <v>48.527984471044967</v>
          </cell>
          <cell r="V311" t="e">
            <v>#N/A</v>
          </cell>
          <cell r="W311" t="str">
            <v>KG</v>
          </cell>
          <cell r="X311">
            <v>0</v>
          </cell>
          <cell r="Y311">
            <v>0</v>
          </cell>
          <cell r="Z311">
            <v>764.31575541895825</v>
          </cell>
          <cell r="AA311" t="str">
            <v>KG</v>
          </cell>
          <cell r="AB311">
            <v>48.527984471044967</v>
          </cell>
          <cell r="AC311">
            <v>764.31575541895825</v>
          </cell>
          <cell r="AD311">
            <v>48.527984471044967</v>
          </cell>
          <cell r="AE311" t="e">
            <v>#N/A</v>
          </cell>
          <cell r="AF311">
            <v>48.527984471044967</v>
          </cell>
          <cell r="AG311" t="e">
            <v>#N/A</v>
          </cell>
          <cell r="AH311" t="e">
            <v>#N/A</v>
          </cell>
          <cell r="AI311">
            <v>0</v>
          </cell>
          <cell r="AJ311">
            <v>0</v>
          </cell>
          <cell r="AK311" t="str">
            <v>Extrusion</v>
          </cell>
          <cell r="AL311">
            <v>2016.570689097379</v>
          </cell>
          <cell r="AM311">
            <v>0</v>
          </cell>
          <cell r="AN311">
            <v>0</v>
          </cell>
          <cell r="AO311">
            <v>0</v>
          </cell>
        </row>
        <row r="312">
          <cell r="K312" t="str">
            <v>SO24-2681</v>
          </cell>
          <cell r="L312" t="str">
            <v>Bikaji Navrattan Mix Sub Kuch Rs 5/-(205MM)54Gsm R1</v>
          </cell>
          <cell r="M312">
            <v>0</v>
          </cell>
          <cell r="O312" t="str">
            <v>BAL</v>
          </cell>
          <cell r="P312">
            <v>2000</v>
          </cell>
          <cell r="Q312">
            <v>1</v>
          </cell>
          <cell r="R312">
            <v>2000</v>
          </cell>
          <cell r="S312" t="str">
            <v>KG</v>
          </cell>
          <cell r="T312">
            <v>509.5438369459722</v>
          </cell>
          <cell r="U312">
            <v>32.351989647363311</v>
          </cell>
          <cell r="V312" t="e">
            <v>#N/A</v>
          </cell>
          <cell r="W312" t="str">
            <v>KG</v>
          </cell>
          <cell r="X312">
            <v>0</v>
          </cell>
          <cell r="Y312">
            <v>0</v>
          </cell>
          <cell r="Z312">
            <v>509.5438369459722</v>
          </cell>
          <cell r="AA312" t="str">
            <v>KG</v>
          </cell>
          <cell r="AB312">
            <v>32.351989647363311</v>
          </cell>
          <cell r="AC312">
            <v>509.5438369459722</v>
          </cell>
          <cell r="AD312">
            <v>32.351989647363311</v>
          </cell>
          <cell r="AE312" t="e">
            <v>#N/A</v>
          </cell>
          <cell r="AF312">
            <v>32.351989647363311</v>
          </cell>
          <cell r="AG312" t="e">
            <v>#N/A</v>
          </cell>
          <cell r="AH312" t="e">
            <v>#N/A</v>
          </cell>
          <cell r="AI312">
            <v>0</v>
          </cell>
          <cell r="AJ312">
            <v>0</v>
          </cell>
          <cell r="AK312" t="str">
            <v>Extrusion</v>
          </cell>
          <cell r="AL312">
            <v>1344.3804593982527</v>
          </cell>
          <cell r="AM312">
            <v>0</v>
          </cell>
          <cell r="AN312">
            <v>0</v>
          </cell>
          <cell r="AO312">
            <v>0</v>
          </cell>
        </row>
        <row r="313">
          <cell r="K313" t="str">
            <v>SO24-2682</v>
          </cell>
          <cell r="L313" t="str">
            <v>Bikaji Navrattan Mix Sub Kuch 200Gm-(320MM) R1</v>
          </cell>
          <cell r="M313">
            <v>0</v>
          </cell>
          <cell r="O313" t="str">
            <v>BAL</v>
          </cell>
          <cell r="P313">
            <v>2000</v>
          </cell>
          <cell r="Q313">
            <v>1</v>
          </cell>
          <cell r="R313">
            <v>2000</v>
          </cell>
          <cell r="S313" t="str">
            <v>KG</v>
          </cell>
          <cell r="T313">
            <v>443.03797468354435</v>
          </cell>
          <cell r="U313">
            <v>29.985649724774575</v>
          </cell>
          <cell r="V313" t="e">
            <v>#N/A</v>
          </cell>
          <cell r="W313" t="str">
            <v>KG</v>
          </cell>
          <cell r="X313">
            <v>0</v>
          </cell>
          <cell r="Y313">
            <v>0</v>
          </cell>
          <cell r="Z313">
            <v>443.03797468354435</v>
          </cell>
          <cell r="AA313" t="str">
            <v>KG</v>
          </cell>
          <cell r="AB313">
            <v>29.985649724774575</v>
          </cell>
          <cell r="AC313">
            <v>443.03797468354435</v>
          </cell>
          <cell r="AD313">
            <v>29.985649724774575</v>
          </cell>
          <cell r="AE313" t="e">
            <v>#N/A</v>
          </cell>
          <cell r="AF313">
            <v>29.985649724774575</v>
          </cell>
          <cell r="AG313" t="e">
            <v>#N/A</v>
          </cell>
          <cell r="AH313" t="e">
            <v>#N/A</v>
          </cell>
          <cell r="AI313">
            <v>0</v>
          </cell>
          <cell r="AJ313">
            <v>0</v>
          </cell>
          <cell r="AK313" t="str">
            <v>Extrusion</v>
          </cell>
          <cell r="AL313">
            <v>1197.5611814345991</v>
          </cell>
          <cell r="AM313">
            <v>0</v>
          </cell>
          <cell r="AN313">
            <v>0</v>
          </cell>
          <cell r="AO313">
            <v>0</v>
          </cell>
        </row>
        <row r="314">
          <cell r="K314" t="str">
            <v>SO24-2684</v>
          </cell>
          <cell r="L314" t="str">
            <v>No Control - Lot Pot  Rs.5/-</v>
          </cell>
          <cell r="M314">
            <v>0</v>
          </cell>
          <cell r="O314" t="str">
            <v>BAL</v>
          </cell>
          <cell r="P314">
            <v>1000</v>
          </cell>
          <cell r="Q314">
            <v>1</v>
          </cell>
          <cell r="R314">
            <v>1000</v>
          </cell>
          <cell r="S314" t="str">
            <v>KG</v>
          </cell>
          <cell r="T314">
            <v>261.42716211772444</v>
          </cell>
          <cell r="U314">
            <v>20.148528872271633</v>
          </cell>
          <cell r="V314" t="e">
            <v>#N/A</v>
          </cell>
          <cell r="W314" t="str">
            <v>KG</v>
          </cell>
          <cell r="X314">
            <v>0</v>
          </cell>
          <cell r="Y314">
            <v>0</v>
          </cell>
          <cell r="Z314">
            <v>261.42716211772444</v>
          </cell>
          <cell r="AA314" t="str">
            <v>KG</v>
          </cell>
          <cell r="AB314">
            <v>20.148528872271633</v>
          </cell>
          <cell r="AC314">
            <v>261.42716211772444</v>
          </cell>
          <cell r="AD314">
            <v>20.148528872271633</v>
          </cell>
          <cell r="AE314" t="e">
            <v>#N/A</v>
          </cell>
          <cell r="AF314">
            <v>20.148528872271633</v>
          </cell>
          <cell r="AG314" t="e">
            <v>#N/A</v>
          </cell>
          <cell r="AH314" t="e">
            <v>#N/A</v>
          </cell>
          <cell r="AI314">
            <v>0</v>
          </cell>
          <cell r="AJ314">
            <v>0</v>
          </cell>
          <cell r="AK314" t="str">
            <v>Extrusion</v>
          </cell>
          <cell r="AL314">
            <v>672.84380138112454</v>
          </cell>
          <cell r="AM314">
            <v>0</v>
          </cell>
          <cell r="AN314">
            <v>0</v>
          </cell>
          <cell r="AO314">
            <v>0</v>
          </cell>
        </row>
        <row r="315">
          <cell r="K315" t="str">
            <v>SO24-2688</v>
          </cell>
          <cell r="L315" t="str">
            <v>Trypure Whole spices 100g</v>
          </cell>
          <cell r="M315">
            <v>0</v>
          </cell>
          <cell r="O315" t="str">
            <v>BAL</v>
          </cell>
          <cell r="P315">
            <v>300</v>
          </cell>
          <cell r="Q315">
            <v>1</v>
          </cell>
          <cell r="R315">
            <v>300</v>
          </cell>
          <cell r="S315" t="str">
            <v>KG</v>
          </cell>
          <cell r="T315">
            <v>79.985734664764593</v>
          </cell>
          <cell r="U315">
            <v>5.8739615675085997</v>
          </cell>
          <cell r="V315" t="e">
            <v>#N/A</v>
          </cell>
          <cell r="W315" t="str">
            <v>KG</v>
          </cell>
          <cell r="X315">
            <v>0</v>
          </cell>
          <cell r="Y315">
            <v>0</v>
          </cell>
          <cell r="Z315">
            <v>79.985734664764593</v>
          </cell>
          <cell r="AA315" t="str">
            <v>KG</v>
          </cell>
          <cell r="AB315">
            <v>5.8739615675085997</v>
          </cell>
          <cell r="AC315">
            <v>79.985734664764593</v>
          </cell>
          <cell r="AD315">
            <v>5.8739615675085997</v>
          </cell>
          <cell r="AE315" t="e">
            <v>#N/A</v>
          </cell>
          <cell r="AF315">
            <v>0</v>
          </cell>
          <cell r="AG315" t="e">
            <v>#N/A</v>
          </cell>
          <cell r="AH315" t="e">
            <v>#N/A</v>
          </cell>
          <cell r="AI315">
            <v>0</v>
          </cell>
          <cell r="AJ315">
            <v>0</v>
          </cell>
          <cell r="AK315" t="str">
            <v>solv.Less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K316" t="str">
            <v>SO24-2692</v>
          </cell>
          <cell r="L316" t="str">
            <v>Everyday Multitrack Spice Rs.5/- (Duck Curry Masala) 160*115</v>
          </cell>
          <cell r="M316">
            <v>0</v>
          </cell>
          <cell r="O316" t="str">
            <v>BAL</v>
          </cell>
          <cell r="P316">
            <v>1000</v>
          </cell>
          <cell r="Q316">
            <v>1</v>
          </cell>
          <cell r="R316">
            <v>1000</v>
          </cell>
          <cell r="S316" t="str">
            <v>KG</v>
          </cell>
          <cell r="T316">
            <v>260.42216358839039</v>
          </cell>
          <cell r="U316">
            <v>14.207428455449559</v>
          </cell>
          <cell r="V316" t="e">
            <v>#N/A</v>
          </cell>
          <cell r="W316" t="str">
            <v>KG</v>
          </cell>
          <cell r="X316">
            <v>0</v>
          </cell>
          <cell r="Y316">
            <v>0</v>
          </cell>
          <cell r="Z316">
            <v>260.42216358839039</v>
          </cell>
          <cell r="AA316" t="str">
            <v>KG</v>
          </cell>
          <cell r="AB316">
            <v>14.207428455449559</v>
          </cell>
          <cell r="AC316">
            <v>260.42216358839039</v>
          </cell>
          <cell r="AD316">
            <v>14.207428455449559</v>
          </cell>
          <cell r="AE316" t="e">
            <v>#N/A</v>
          </cell>
          <cell r="AF316">
            <v>0</v>
          </cell>
          <cell r="AG316" t="e">
            <v>#N/A</v>
          </cell>
          <cell r="AH316" t="e">
            <v>#N/A</v>
          </cell>
          <cell r="AI316">
            <v>0</v>
          </cell>
          <cell r="AJ316">
            <v>0</v>
          </cell>
          <cell r="AK316" t="str">
            <v>solv.Less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</row>
        <row r="317">
          <cell r="K317" t="str">
            <v>SO24-2693</v>
          </cell>
          <cell r="L317" t="str">
            <v>Everyday Multitrack Spice Rs.5/- (Chilli Flakes Masala) 160*115</v>
          </cell>
          <cell r="M317">
            <v>0</v>
          </cell>
          <cell r="O317" t="str">
            <v>BAL</v>
          </cell>
          <cell r="P317">
            <v>1000</v>
          </cell>
          <cell r="Q317">
            <v>1</v>
          </cell>
          <cell r="R317">
            <v>1000</v>
          </cell>
          <cell r="S317" t="str">
            <v>KG</v>
          </cell>
          <cell r="T317">
            <v>260.42216358839039</v>
          </cell>
          <cell r="U317">
            <v>14.207428455449559</v>
          </cell>
          <cell r="V317" t="e">
            <v>#N/A</v>
          </cell>
          <cell r="W317" t="str">
            <v>KG</v>
          </cell>
          <cell r="X317">
            <v>0</v>
          </cell>
          <cell r="Y317">
            <v>0</v>
          </cell>
          <cell r="Z317">
            <v>260.42216358839039</v>
          </cell>
          <cell r="AA317" t="str">
            <v>KG</v>
          </cell>
          <cell r="AB317">
            <v>14.207428455449559</v>
          </cell>
          <cell r="AC317">
            <v>260.42216358839039</v>
          </cell>
          <cell r="AD317">
            <v>14.207428455449559</v>
          </cell>
          <cell r="AE317" t="e">
            <v>#N/A</v>
          </cell>
          <cell r="AF317">
            <v>0</v>
          </cell>
          <cell r="AG317" t="e">
            <v>#N/A</v>
          </cell>
          <cell r="AH317" t="e">
            <v>#N/A</v>
          </cell>
          <cell r="AI317">
            <v>0</v>
          </cell>
          <cell r="AJ317">
            <v>0</v>
          </cell>
          <cell r="AK317" t="str">
            <v>solv.Less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</row>
        <row r="318">
          <cell r="K318" t="str">
            <v>SO24-2694</v>
          </cell>
          <cell r="L318" t="str">
            <v>Everyday Multitrack Spice Rs.5/- (Pork Curry Masala) 160*115</v>
          </cell>
          <cell r="M318">
            <v>0</v>
          </cell>
          <cell r="O318" t="str">
            <v>BAL</v>
          </cell>
          <cell r="P318">
            <v>1000</v>
          </cell>
          <cell r="Q318">
            <v>1</v>
          </cell>
          <cell r="R318">
            <v>1000</v>
          </cell>
          <cell r="S318" t="str">
            <v>KG</v>
          </cell>
          <cell r="T318">
            <v>260.42216358839039</v>
          </cell>
          <cell r="U318">
            <v>14.207428455449559</v>
          </cell>
          <cell r="V318" t="e">
            <v>#N/A</v>
          </cell>
          <cell r="W318" t="str">
            <v>KG</v>
          </cell>
          <cell r="X318">
            <v>0</v>
          </cell>
          <cell r="Y318">
            <v>0</v>
          </cell>
          <cell r="Z318">
            <v>260.42216358839039</v>
          </cell>
          <cell r="AA318" t="str">
            <v>KG</v>
          </cell>
          <cell r="AB318">
            <v>14.207428455449559</v>
          </cell>
          <cell r="AC318">
            <v>260.42216358839039</v>
          </cell>
          <cell r="AD318">
            <v>14.207428455449559</v>
          </cell>
          <cell r="AE318" t="e">
            <v>#N/A</v>
          </cell>
          <cell r="AF318">
            <v>0</v>
          </cell>
          <cell r="AG318" t="e">
            <v>#N/A</v>
          </cell>
          <cell r="AH318" t="e">
            <v>#N/A</v>
          </cell>
          <cell r="AI318">
            <v>0</v>
          </cell>
          <cell r="AJ318">
            <v>0</v>
          </cell>
          <cell r="AK318" t="str">
            <v>solv.Less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</row>
        <row r="319">
          <cell r="K319" t="str">
            <v>SO24-2695</v>
          </cell>
          <cell r="L319" t="str">
            <v>Everyday Multitrack Spice Rs.5/- (Peri Peri Masala) 160*115</v>
          </cell>
          <cell r="M319">
            <v>0</v>
          </cell>
          <cell r="O319" t="str">
            <v>BAL</v>
          </cell>
          <cell r="P319">
            <v>500</v>
          </cell>
          <cell r="Q319">
            <v>1</v>
          </cell>
          <cell r="R319">
            <v>500</v>
          </cell>
          <cell r="S319" t="str">
            <v>KG</v>
          </cell>
          <cell r="T319">
            <v>130.2110817941952</v>
          </cell>
          <cell r="U319">
            <v>7.1037142277247796</v>
          </cell>
          <cell r="V319" t="e">
            <v>#N/A</v>
          </cell>
          <cell r="W319" t="str">
            <v>KG</v>
          </cell>
          <cell r="X319">
            <v>0</v>
          </cell>
          <cell r="Y319">
            <v>0</v>
          </cell>
          <cell r="Z319">
            <v>130.2110817941952</v>
          </cell>
          <cell r="AA319" t="str">
            <v>KG</v>
          </cell>
          <cell r="AB319">
            <v>7.1037142277247796</v>
          </cell>
          <cell r="AC319">
            <v>130.2110817941952</v>
          </cell>
          <cell r="AD319">
            <v>7.1037142277247796</v>
          </cell>
          <cell r="AE319" t="e">
            <v>#N/A</v>
          </cell>
          <cell r="AF319">
            <v>0</v>
          </cell>
          <cell r="AG319" t="e">
            <v>#N/A</v>
          </cell>
          <cell r="AH319" t="e">
            <v>#N/A</v>
          </cell>
          <cell r="AI319">
            <v>0</v>
          </cell>
          <cell r="AJ319">
            <v>0</v>
          </cell>
          <cell r="AK319" t="str">
            <v>solv.Less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</row>
        <row r="320">
          <cell r="K320" t="str">
            <v>SO24-2696</v>
          </cell>
          <cell r="L320" t="str">
            <v>Everyday Multitrack Spice Rs.5/- (Shahi Garam Masala) 160*105</v>
          </cell>
          <cell r="M320">
            <v>0</v>
          </cell>
          <cell r="O320" t="str">
            <v>BAL</v>
          </cell>
          <cell r="P320">
            <v>1000</v>
          </cell>
          <cell r="Q320">
            <v>1</v>
          </cell>
          <cell r="R320">
            <v>1000</v>
          </cell>
          <cell r="S320" t="str">
            <v>KG</v>
          </cell>
          <cell r="T320">
            <v>260.42216358839039</v>
          </cell>
          <cell r="U320">
            <v>14.207428455449559</v>
          </cell>
          <cell r="V320" t="e">
            <v>#N/A</v>
          </cell>
          <cell r="W320" t="str">
            <v>KG</v>
          </cell>
          <cell r="X320">
            <v>0</v>
          </cell>
          <cell r="Y320">
            <v>0</v>
          </cell>
          <cell r="Z320">
            <v>260.42216358839039</v>
          </cell>
          <cell r="AA320" t="str">
            <v>KG</v>
          </cell>
          <cell r="AB320">
            <v>14.207428455449559</v>
          </cell>
          <cell r="AC320">
            <v>260.42216358839039</v>
          </cell>
          <cell r="AD320">
            <v>14.207428455449559</v>
          </cell>
          <cell r="AE320" t="e">
            <v>#N/A</v>
          </cell>
          <cell r="AF320">
            <v>0</v>
          </cell>
          <cell r="AG320" t="e">
            <v>#N/A</v>
          </cell>
          <cell r="AH320" t="e">
            <v>#N/A</v>
          </cell>
          <cell r="AI320">
            <v>0</v>
          </cell>
          <cell r="AJ320">
            <v>0</v>
          </cell>
          <cell r="AK320" t="str">
            <v>solv.Less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</row>
        <row r="321">
          <cell r="K321" t="str">
            <v>SO24-2712</v>
          </cell>
          <cell r="L321" t="str">
            <v>Dabur PTD-280MM X 55MIC PE(N)RECYCLE ONLY -SHRINK FILM(1222050297)</v>
          </cell>
          <cell r="M321">
            <v>0</v>
          </cell>
          <cell r="O321" t="str">
            <v>BAL</v>
          </cell>
          <cell r="P321">
            <v>500</v>
          </cell>
          <cell r="Q321">
            <v>1</v>
          </cell>
          <cell r="R321">
            <v>500</v>
          </cell>
          <cell r="S321" t="str">
            <v>KG</v>
          </cell>
          <cell r="T321">
            <v>500</v>
          </cell>
          <cell r="U321">
            <v>8.6209126098088742</v>
          </cell>
          <cell r="V321">
            <v>0</v>
          </cell>
          <cell r="W321" t="str">
            <v>KG</v>
          </cell>
          <cell r="X321">
            <v>0</v>
          </cell>
          <cell r="Y321">
            <v>0</v>
          </cell>
          <cell r="Z321">
            <v>500</v>
          </cell>
          <cell r="AA321" t="str">
            <v>KG</v>
          </cell>
          <cell r="AB321">
            <v>8.6209126098088742</v>
          </cell>
          <cell r="AC321">
            <v>500</v>
          </cell>
          <cell r="AD321">
            <v>8.6209126098088742</v>
          </cell>
          <cell r="AE321">
            <v>1.1200000000000001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 t="str">
            <v>Slitting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</row>
        <row r="322">
          <cell r="K322" t="str">
            <v>SO24-2719</v>
          </cell>
          <cell r="L322" t="str">
            <v>Non Stop Rings Aasmani Aafat Rs.5/- (285*170)</v>
          </cell>
          <cell r="M322">
            <v>0</v>
          </cell>
          <cell r="O322" t="str">
            <v>BAL</v>
          </cell>
          <cell r="P322">
            <v>2500</v>
          </cell>
          <cell r="Q322">
            <v>1</v>
          </cell>
          <cell r="R322">
            <v>2500</v>
          </cell>
          <cell r="S322" t="str">
            <v>KG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str">
            <v>KG</v>
          </cell>
          <cell r="X322">
            <v>0</v>
          </cell>
          <cell r="Y322" t="e">
            <v>#DIV/0!</v>
          </cell>
          <cell r="Z322" t="e">
            <v>#DIV/0!</v>
          </cell>
          <cell r="AA322" t="str">
            <v>KG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#N/A</v>
          </cell>
          <cell r="AF322">
            <v>0</v>
          </cell>
          <cell r="AG322" t="e">
            <v>#N/A</v>
          </cell>
          <cell r="AH322" t="e">
            <v>#N/A</v>
          </cell>
          <cell r="AI322">
            <v>0</v>
          </cell>
          <cell r="AJ322">
            <v>0</v>
          </cell>
          <cell r="AK322">
            <v>0</v>
          </cell>
          <cell r="AL322" t="e">
            <v>#DIV/0!</v>
          </cell>
          <cell r="AM322">
            <v>0</v>
          </cell>
          <cell r="AN322">
            <v>0</v>
          </cell>
          <cell r="AO322">
            <v>0</v>
          </cell>
        </row>
        <row r="323">
          <cell r="K323" t="str">
            <v>SO24-2720</v>
          </cell>
          <cell r="L323" t="str">
            <v>Non Stop Rings Sky Zone Toy Rs.5/- (285*170)</v>
          </cell>
          <cell r="M323">
            <v>0</v>
          </cell>
          <cell r="O323" t="str">
            <v>BAL</v>
          </cell>
          <cell r="P323">
            <v>2500</v>
          </cell>
          <cell r="Q323">
            <v>1</v>
          </cell>
          <cell r="R323">
            <v>2500</v>
          </cell>
          <cell r="S323" t="str">
            <v>KG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str">
            <v>KG</v>
          </cell>
          <cell r="X323">
            <v>0</v>
          </cell>
          <cell r="Y323" t="e">
            <v>#DIV/0!</v>
          </cell>
          <cell r="Z323" t="e">
            <v>#DIV/0!</v>
          </cell>
          <cell r="AA323" t="str">
            <v>KG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#N/A</v>
          </cell>
          <cell r="AF323">
            <v>0</v>
          </cell>
          <cell r="AG323" t="e">
            <v>#N/A</v>
          </cell>
          <cell r="AH323" t="e">
            <v>#N/A</v>
          </cell>
          <cell r="AI323">
            <v>0</v>
          </cell>
          <cell r="AJ323">
            <v>0</v>
          </cell>
          <cell r="AK323">
            <v>0</v>
          </cell>
          <cell r="AL323" t="e">
            <v>#DIV/0!</v>
          </cell>
          <cell r="AM323">
            <v>0</v>
          </cell>
          <cell r="AN323">
            <v>0</v>
          </cell>
          <cell r="AO323">
            <v>0</v>
          </cell>
        </row>
        <row r="324">
          <cell r="K324" t="str">
            <v>SO24-2713</v>
          </cell>
          <cell r="L324" t="str">
            <v>PE(N)65MICX240MM(water pouch )</v>
          </cell>
          <cell r="M324">
            <v>0</v>
          </cell>
          <cell r="O324" t="str">
            <v>BAL</v>
          </cell>
          <cell r="P324">
            <v>2000</v>
          </cell>
          <cell r="Q324">
            <v>1</v>
          </cell>
          <cell r="R324">
            <v>2000</v>
          </cell>
          <cell r="S324" t="str">
            <v>KG</v>
          </cell>
          <cell r="T324" t="e">
            <v>#DIV/0!</v>
          </cell>
          <cell r="U324" t="e">
            <v>#DIV/0!</v>
          </cell>
          <cell r="V324" t="e">
            <v>#DIV/0!</v>
          </cell>
          <cell r="W324" t="str">
            <v>KG</v>
          </cell>
          <cell r="X324">
            <v>0</v>
          </cell>
          <cell r="Y324" t="e">
            <v>#DIV/0!</v>
          </cell>
          <cell r="Z324" t="e">
            <v>#DIV/0!</v>
          </cell>
          <cell r="AA324" t="str">
            <v>KG</v>
          </cell>
          <cell r="AB324" t="e">
            <v>#DIV/0!</v>
          </cell>
          <cell r="AC324" t="e">
            <v>#DIV/0!</v>
          </cell>
          <cell r="AD324" t="e">
            <v>#DIV/0!</v>
          </cell>
          <cell r="AE324" t="e">
            <v>#N/A</v>
          </cell>
          <cell r="AF324">
            <v>0</v>
          </cell>
          <cell r="AG324" t="e">
            <v>#N/A</v>
          </cell>
          <cell r="AH324" t="e">
            <v>#N/A</v>
          </cell>
          <cell r="AI324">
            <v>0</v>
          </cell>
          <cell r="AJ324">
            <v>0</v>
          </cell>
          <cell r="AK324">
            <v>0</v>
          </cell>
          <cell r="AL324" t="e">
            <v>#DIV/0!</v>
          </cell>
          <cell r="AM324">
            <v>0</v>
          </cell>
          <cell r="AN324">
            <v>0</v>
          </cell>
          <cell r="AO324">
            <v>0</v>
          </cell>
        </row>
        <row r="325">
          <cell r="K325" t="str">
            <v>SO24-2714</v>
          </cell>
          <cell r="L325" t="str">
            <v>PM TRADER- PLAIN LD -WATER POUCH-330MM X 65MIC PE(N)</v>
          </cell>
          <cell r="M325">
            <v>0</v>
          </cell>
          <cell r="O325" t="str">
            <v>BAL</v>
          </cell>
          <cell r="P325">
            <v>5000</v>
          </cell>
          <cell r="Q325">
            <v>1</v>
          </cell>
          <cell r="R325">
            <v>5000</v>
          </cell>
          <cell r="S325" t="str">
            <v>KG</v>
          </cell>
          <cell r="T325">
            <v>5000</v>
          </cell>
          <cell r="U325">
            <v>83.61204013377926</v>
          </cell>
          <cell r="V325">
            <v>0</v>
          </cell>
          <cell r="W325" t="str">
            <v>KG</v>
          </cell>
          <cell r="X325">
            <v>0</v>
          </cell>
          <cell r="Y325">
            <v>0</v>
          </cell>
          <cell r="Z325">
            <v>5000</v>
          </cell>
          <cell r="AA325" t="str">
            <v>KG</v>
          </cell>
          <cell r="AB325">
            <v>83.61204013377926</v>
          </cell>
          <cell r="AC325">
            <v>5000</v>
          </cell>
          <cell r="AD325">
            <v>83.61204013377926</v>
          </cell>
          <cell r="AE325">
            <v>0.99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</row>
        <row r="326">
          <cell r="K326" t="str">
            <v>SO24-2702</v>
          </cell>
          <cell r="L326" t="str">
            <v>MULCO TONED MILK 500ML[65mic]</v>
          </cell>
          <cell r="M326">
            <v>0</v>
          </cell>
          <cell r="O326" t="str">
            <v>BAL</v>
          </cell>
          <cell r="P326">
            <v>750</v>
          </cell>
          <cell r="Q326">
            <v>1</v>
          </cell>
          <cell r="R326">
            <v>750</v>
          </cell>
          <cell r="S326" t="str">
            <v>KG</v>
          </cell>
          <cell r="T326">
            <v>750</v>
          </cell>
          <cell r="U326">
            <v>12.231667787902881</v>
          </cell>
          <cell r="V326">
            <v>0</v>
          </cell>
          <cell r="W326" t="str">
            <v>KG</v>
          </cell>
          <cell r="X326">
            <v>0</v>
          </cell>
          <cell r="Y326">
            <v>0</v>
          </cell>
          <cell r="Z326">
            <v>750</v>
          </cell>
          <cell r="AA326" t="str">
            <v>KG</v>
          </cell>
          <cell r="AB326">
            <v>12.231667787902881</v>
          </cell>
          <cell r="AC326">
            <v>750</v>
          </cell>
          <cell r="AD326">
            <v>12.231667787902881</v>
          </cell>
          <cell r="AE326">
            <v>0.97499999999999998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 t="str">
            <v>Slitting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</row>
        <row r="327">
          <cell r="K327" t="str">
            <v>SO24-2685</v>
          </cell>
          <cell r="L327" t="str">
            <v>Axom Tales 4 in 1(21Anna/Hot&amp;Spicy/KhattaMeetha/Navratan)</v>
          </cell>
          <cell r="M327">
            <v>0</v>
          </cell>
          <cell r="O327" t="str">
            <v>BAL</v>
          </cell>
          <cell r="P327">
            <v>1000</v>
          </cell>
          <cell r="Q327">
            <v>1</v>
          </cell>
          <cell r="R327">
            <v>1000</v>
          </cell>
          <cell r="S327" t="str">
            <v>KG</v>
          </cell>
          <cell r="T327">
            <v>230.10130246020262</v>
          </cell>
          <cell r="U327">
            <v>13.397455747318929</v>
          </cell>
          <cell r="V327" t="e">
            <v>#N/A</v>
          </cell>
          <cell r="W327" t="str">
            <v>KG</v>
          </cell>
          <cell r="X327">
            <v>0</v>
          </cell>
          <cell r="Y327">
            <v>0</v>
          </cell>
          <cell r="Z327">
            <v>230.10130246020262</v>
          </cell>
          <cell r="AA327" t="str">
            <v>KG</v>
          </cell>
          <cell r="AB327">
            <v>13.397455747318929</v>
          </cell>
          <cell r="AC327">
            <v>230.10130246020262</v>
          </cell>
          <cell r="AD327">
            <v>13.397455747318929</v>
          </cell>
          <cell r="AE327" t="e">
            <v>#N/A</v>
          </cell>
          <cell r="AF327">
            <v>13.397455747318929</v>
          </cell>
          <cell r="AG327" t="e">
            <v>#N/A</v>
          </cell>
          <cell r="AH327" t="e">
            <v>#N/A</v>
          </cell>
          <cell r="AI327">
            <v>0</v>
          </cell>
          <cell r="AJ327">
            <v>0</v>
          </cell>
          <cell r="AK327" t="str">
            <v>Extrusion</v>
          </cell>
          <cell r="AL327">
            <v>592.2193921852388</v>
          </cell>
          <cell r="AM327">
            <v>0</v>
          </cell>
          <cell r="AN327">
            <v>0</v>
          </cell>
          <cell r="AO327">
            <v>0</v>
          </cell>
        </row>
        <row r="328">
          <cell r="K328" t="str">
            <v>SO24-2707</v>
          </cell>
          <cell r="L328" t="str">
            <v>Yumzee Makeup Box Rs 5/-</v>
          </cell>
          <cell r="M328">
            <v>0</v>
          </cell>
          <cell r="O328" t="str">
            <v>BAL</v>
          </cell>
          <cell r="P328">
            <v>1000</v>
          </cell>
          <cell r="Q328">
            <v>1</v>
          </cell>
          <cell r="R328">
            <v>1000</v>
          </cell>
          <cell r="S328" t="str">
            <v>KG</v>
          </cell>
          <cell r="T328">
            <v>261.42716211772444</v>
          </cell>
          <cell r="U328">
            <v>18.841597269745908</v>
          </cell>
          <cell r="V328" t="e">
            <v>#N/A</v>
          </cell>
          <cell r="W328" t="str">
            <v>KG</v>
          </cell>
          <cell r="X328">
            <v>0</v>
          </cell>
          <cell r="Y328">
            <v>0</v>
          </cell>
          <cell r="Z328">
            <v>261.42716211772444</v>
          </cell>
          <cell r="AA328" t="str">
            <v>KG</v>
          </cell>
          <cell r="AB328">
            <v>18.841597269745908</v>
          </cell>
          <cell r="AC328">
            <v>261.42716211772444</v>
          </cell>
          <cell r="AD328">
            <v>18.841597269745908</v>
          </cell>
          <cell r="AE328" t="e">
            <v>#N/A</v>
          </cell>
          <cell r="AF328">
            <v>18.841597269745908</v>
          </cell>
          <cell r="AG328" t="e">
            <v>#N/A</v>
          </cell>
          <cell r="AH328" t="e">
            <v>#N/A</v>
          </cell>
          <cell r="AI328">
            <v>0</v>
          </cell>
          <cell r="AJ328">
            <v>0</v>
          </cell>
          <cell r="AK328" t="str">
            <v>Extrusion</v>
          </cell>
          <cell r="AL328">
            <v>672.84380138112465</v>
          </cell>
          <cell r="AM328">
            <v>0</v>
          </cell>
          <cell r="AN328">
            <v>0</v>
          </cell>
          <cell r="AO328">
            <v>0</v>
          </cell>
        </row>
        <row r="329">
          <cell r="K329" t="str">
            <v>SO24-2708</v>
          </cell>
          <cell r="L329" t="str">
            <v>Yumzee Moon Chips Rs 5/- (red)</v>
          </cell>
          <cell r="M329">
            <v>0</v>
          </cell>
          <cell r="O329" t="str">
            <v>BAL</v>
          </cell>
          <cell r="P329">
            <v>1000</v>
          </cell>
          <cell r="Q329">
            <v>1</v>
          </cell>
          <cell r="R329">
            <v>1000</v>
          </cell>
          <cell r="S329" t="str">
            <v>KG</v>
          </cell>
          <cell r="T329">
            <v>271.73913043478262</v>
          </cell>
          <cell r="U329">
            <v>19.584802193497847</v>
          </cell>
          <cell r="V329" t="e">
            <v>#N/A</v>
          </cell>
          <cell r="W329" t="str">
            <v>KG</v>
          </cell>
          <cell r="X329">
            <v>0</v>
          </cell>
          <cell r="Y329">
            <v>0</v>
          </cell>
          <cell r="Z329">
            <v>271.73913043478262</v>
          </cell>
          <cell r="AA329" t="str">
            <v>KG</v>
          </cell>
          <cell r="AB329">
            <v>19.584802193497847</v>
          </cell>
          <cell r="AC329">
            <v>271.73913043478262</v>
          </cell>
          <cell r="AD329">
            <v>19.584802193497847</v>
          </cell>
          <cell r="AE329" t="e">
            <v>#N/A</v>
          </cell>
          <cell r="AF329">
            <v>19.584802193497847</v>
          </cell>
          <cell r="AG329" t="e">
            <v>#N/A</v>
          </cell>
          <cell r="AH329" t="e">
            <v>#N/A</v>
          </cell>
          <cell r="AI329">
            <v>0</v>
          </cell>
          <cell r="AJ329">
            <v>0</v>
          </cell>
          <cell r="AK329">
            <v>0</v>
          </cell>
          <cell r="AL329">
            <v>699.38405797101439</v>
          </cell>
          <cell r="AM329">
            <v>0</v>
          </cell>
          <cell r="AN329">
            <v>0</v>
          </cell>
          <cell r="AO329">
            <v>0</v>
          </cell>
        </row>
        <row r="330">
          <cell r="K330" t="str">
            <v>SO24-2709</v>
          </cell>
          <cell r="L330" t="str">
            <v>Yumzee Snake &amp; Ladders,Ludo and Medieval Land Rs5/-</v>
          </cell>
          <cell r="M330">
            <v>0</v>
          </cell>
          <cell r="O330" t="str">
            <v>BAL</v>
          </cell>
          <cell r="P330">
            <v>1000</v>
          </cell>
          <cell r="Q330">
            <v>1</v>
          </cell>
          <cell r="R330">
            <v>1000</v>
          </cell>
          <cell r="S330" t="str">
            <v>KG</v>
          </cell>
          <cell r="T330">
            <v>271.73913043478262</v>
          </cell>
          <cell r="U330">
            <v>19.584802193497847</v>
          </cell>
          <cell r="V330" t="e">
            <v>#N/A</v>
          </cell>
          <cell r="W330" t="str">
            <v>KG</v>
          </cell>
          <cell r="X330">
            <v>0</v>
          </cell>
          <cell r="Y330">
            <v>0</v>
          </cell>
          <cell r="Z330">
            <v>271.73913043478262</v>
          </cell>
          <cell r="AA330" t="str">
            <v>KG</v>
          </cell>
          <cell r="AB330">
            <v>19.584802193497847</v>
          </cell>
          <cell r="AC330">
            <v>271.73913043478262</v>
          </cell>
          <cell r="AD330">
            <v>19.584802193497847</v>
          </cell>
          <cell r="AE330" t="e">
            <v>#N/A</v>
          </cell>
          <cell r="AF330">
            <v>19.584802193497847</v>
          </cell>
          <cell r="AG330" t="e">
            <v>#N/A</v>
          </cell>
          <cell r="AH330" t="e">
            <v>#N/A</v>
          </cell>
          <cell r="AI330">
            <v>0</v>
          </cell>
          <cell r="AJ330">
            <v>0</v>
          </cell>
          <cell r="AK330">
            <v>0</v>
          </cell>
          <cell r="AL330">
            <v>699.38405797101439</v>
          </cell>
          <cell r="AM330">
            <v>0</v>
          </cell>
          <cell r="AN330">
            <v>0</v>
          </cell>
          <cell r="AO330">
            <v>0</v>
          </cell>
        </row>
        <row r="331">
          <cell r="K331" t="str">
            <v>SO24-2710</v>
          </cell>
          <cell r="L331" t="str">
            <v>YUMZEE CHEESE BALLS RS 5/-[CW-300MM]</v>
          </cell>
          <cell r="M331">
            <v>0</v>
          </cell>
          <cell r="O331" t="str">
            <v>BAL</v>
          </cell>
          <cell r="P331">
            <v>750</v>
          </cell>
          <cell r="Q331">
            <v>1</v>
          </cell>
          <cell r="R331">
            <v>750</v>
          </cell>
          <cell r="S331" t="str">
            <v>KG</v>
          </cell>
          <cell r="T331">
            <v>203.804347826087</v>
          </cell>
          <cell r="U331">
            <v>14.688601645123386</v>
          </cell>
          <cell r="V331" t="e">
            <v>#N/A</v>
          </cell>
          <cell r="W331" t="str">
            <v>KG</v>
          </cell>
          <cell r="X331">
            <v>0</v>
          </cell>
          <cell r="Y331">
            <v>0</v>
          </cell>
          <cell r="Z331">
            <v>203.804347826087</v>
          </cell>
          <cell r="AA331" t="str">
            <v>KG</v>
          </cell>
          <cell r="AB331">
            <v>14.688601645123386</v>
          </cell>
          <cell r="AC331">
            <v>203.804347826087</v>
          </cell>
          <cell r="AD331">
            <v>14.688601645123386</v>
          </cell>
          <cell r="AE331" t="e">
            <v>#N/A</v>
          </cell>
          <cell r="AF331">
            <v>14.688601645123386</v>
          </cell>
          <cell r="AG331" t="e">
            <v>#N/A</v>
          </cell>
          <cell r="AH331" t="e">
            <v>#N/A</v>
          </cell>
          <cell r="AI331">
            <v>0</v>
          </cell>
          <cell r="AJ331">
            <v>0</v>
          </cell>
          <cell r="AK331">
            <v>0</v>
          </cell>
          <cell r="AL331">
            <v>524.53804347826087</v>
          </cell>
          <cell r="AM331">
            <v>0</v>
          </cell>
          <cell r="AN331">
            <v>0</v>
          </cell>
          <cell r="AO331">
            <v>0</v>
          </cell>
        </row>
        <row r="332">
          <cell r="K332" t="str">
            <v>SO24-2711</v>
          </cell>
          <cell r="L332" t="str">
            <v>YUMZEE 3D ANGLE RS 5/-[CW-300MM]</v>
          </cell>
          <cell r="M332">
            <v>0</v>
          </cell>
          <cell r="O332" t="str">
            <v>BAL</v>
          </cell>
          <cell r="P332">
            <v>750</v>
          </cell>
          <cell r="Q332">
            <v>1</v>
          </cell>
          <cell r="R332">
            <v>750</v>
          </cell>
          <cell r="S332" t="str">
            <v>KG</v>
          </cell>
          <cell r="T332">
            <v>203.804347826087</v>
          </cell>
          <cell r="U332">
            <v>14.688601645123386</v>
          </cell>
          <cell r="V332" t="e">
            <v>#N/A</v>
          </cell>
          <cell r="W332" t="str">
            <v>KG</v>
          </cell>
          <cell r="X332">
            <v>0</v>
          </cell>
          <cell r="Y332">
            <v>0</v>
          </cell>
          <cell r="Z332">
            <v>203.804347826087</v>
          </cell>
          <cell r="AA332" t="str">
            <v>KG</v>
          </cell>
          <cell r="AB332">
            <v>14.688601645123386</v>
          </cell>
          <cell r="AC332">
            <v>203.804347826087</v>
          </cell>
          <cell r="AD332">
            <v>14.688601645123386</v>
          </cell>
          <cell r="AE332" t="e">
            <v>#N/A</v>
          </cell>
          <cell r="AF332">
            <v>14.688601645123386</v>
          </cell>
          <cell r="AG332" t="e">
            <v>#N/A</v>
          </cell>
          <cell r="AH332" t="e">
            <v>#N/A</v>
          </cell>
          <cell r="AI332">
            <v>0</v>
          </cell>
          <cell r="AJ332">
            <v>0</v>
          </cell>
          <cell r="AK332">
            <v>0</v>
          </cell>
          <cell r="AL332">
            <v>524.53804347826087</v>
          </cell>
          <cell r="AM332">
            <v>0</v>
          </cell>
          <cell r="AN332">
            <v>0</v>
          </cell>
          <cell r="AO332">
            <v>0</v>
          </cell>
        </row>
        <row r="333">
          <cell r="K333" t="str">
            <v>SO24-2721</v>
          </cell>
          <cell r="L333" t="str">
            <v>NON STOP DILKUSH DALMOTH NAMKEEN (200*135)</v>
          </cell>
          <cell r="M333">
            <v>0</v>
          </cell>
          <cell r="O333" t="str">
            <v>BAL</v>
          </cell>
          <cell r="P333">
            <v>1000</v>
          </cell>
          <cell r="Q333">
            <v>1</v>
          </cell>
          <cell r="R333">
            <v>1000</v>
          </cell>
          <cell r="S333" t="str">
            <v>KG</v>
          </cell>
          <cell r="T333">
            <v>259.38735177865613</v>
          </cell>
          <cell r="U333">
            <v>16.870722066904463</v>
          </cell>
          <cell r="V333" t="e">
            <v>#N/A</v>
          </cell>
          <cell r="W333" t="str">
            <v>KG</v>
          </cell>
          <cell r="X333">
            <v>0</v>
          </cell>
          <cell r="Y333">
            <v>0</v>
          </cell>
          <cell r="Z333">
            <v>259.38735177865613</v>
          </cell>
          <cell r="AA333" t="str">
            <v>KG</v>
          </cell>
          <cell r="AB333">
            <v>16.870722066904463</v>
          </cell>
          <cell r="AC333">
            <v>259.38735177865613</v>
          </cell>
          <cell r="AD333">
            <v>16.870722066904463</v>
          </cell>
          <cell r="AE333" t="e">
            <v>#N/A</v>
          </cell>
          <cell r="AF333">
            <v>16.870722066904463</v>
          </cell>
          <cell r="AG333" t="e">
            <v>#N/A</v>
          </cell>
          <cell r="AH333" t="e">
            <v>#N/A</v>
          </cell>
          <cell r="AI333">
            <v>0</v>
          </cell>
          <cell r="AJ333">
            <v>0</v>
          </cell>
          <cell r="AK333" t="str">
            <v>Extrusion</v>
          </cell>
          <cell r="AL333">
            <v>667.59387351778651</v>
          </cell>
          <cell r="AM333">
            <v>0</v>
          </cell>
          <cell r="AN333">
            <v>0</v>
          </cell>
          <cell r="AO333">
            <v>0</v>
          </cell>
        </row>
        <row r="334">
          <cell r="K334" t="str">
            <v>SO24-2722</v>
          </cell>
          <cell r="L334" t="str">
            <v>Non Stop Jolokia Chanachur Rs 5/- R2</v>
          </cell>
          <cell r="M334">
            <v>0</v>
          </cell>
          <cell r="O334" t="str">
            <v>BAL</v>
          </cell>
          <cell r="P334">
            <v>1000</v>
          </cell>
          <cell r="Q334">
            <v>1</v>
          </cell>
          <cell r="R334">
            <v>1000</v>
          </cell>
          <cell r="S334" t="str">
            <v>KG</v>
          </cell>
          <cell r="T334">
            <v>259.38735177865613</v>
          </cell>
          <cell r="U334">
            <v>16.870722066904463</v>
          </cell>
          <cell r="V334" t="e">
            <v>#N/A</v>
          </cell>
          <cell r="W334" t="str">
            <v>KG</v>
          </cell>
          <cell r="X334">
            <v>0</v>
          </cell>
          <cell r="Y334">
            <v>0</v>
          </cell>
          <cell r="Z334">
            <v>259.38735177865613</v>
          </cell>
          <cell r="AA334" t="str">
            <v>KG</v>
          </cell>
          <cell r="AB334">
            <v>16.870722066904463</v>
          </cell>
          <cell r="AC334">
            <v>259.38735177865613</v>
          </cell>
          <cell r="AD334">
            <v>16.870722066904463</v>
          </cell>
          <cell r="AE334" t="e">
            <v>#N/A</v>
          </cell>
          <cell r="AF334">
            <v>16.870722066904463</v>
          </cell>
          <cell r="AG334" t="e">
            <v>#N/A</v>
          </cell>
          <cell r="AH334" t="e">
            <v>#N/A</v>
          </cell>
          <cell r="AI334">
            <v>0</v>
          </cell>
          <cell r="AJ334">
            <v>0</v>
          </cell>
          <cell r="AK334" t="str">
            <v>Extrusion</v>
          </cell>
          <cell r="AL334">
            <v>667.59387351778651</v>
          </cell>
          <cell r="AM334">
            <v>0</v>
          </cell>
          <cell r="AN334">
            <v>0</v>
          </cell>
          <cell r="AO334">
            <v>0</v>
          </cell>
        </row>
        <row r="335">
          <cell r="K335" t="str">
            <v>SO24-2723</v>
          </cell>
          <cell r="L335" t="str">
            <v>NON- STOP-GOLDEN-PUFF Rs 5/-[8/8/10/19]2.2OD[CW-300MM]</v>
          </cell>
          <cell r="M335">
            <v>0</v>
          </cell>
          <cell r="O335" t="str">
            <v>BAL</v>
          </cell>
          <cell r="P335">
            <v>2500</v>
          </cell>
          <cell r="Q335">
            <v>1</v>
          </cell>
          <cell r="R335">
            <v>2500</v>
          </cell>
          <cell r="S335" t="str">
            <v>KG</v>
          </cell>
          <cell r="T335">
            <v>569.81940897482662</v>
          </cell>
          <cell r="U335">
            <v>51.766469132393972</v>
          </cell>
          <cell r="V335">
            <v>0</v>
          </cell>
          <cell r="W335" t="str">
            <v>KG</v>
          </cell>
          <cell r="X335">
            <v>0</v>
          </cell>
          <cell r="Y335">
            <v>0</v>
          </cell>
          <cell r="Z335">
            <v>569.81940897482662</v>
          </cell>
          <cell r="AA335" t="str">
            <v>KG</v>
          </cell>
          <cell r="AB335">
            <v>51.766469132393972</v>
          </cell>
          <cell r="AC335">
            <v>569.81940897482662</v>
          </cell>
          <cell r="AD335">
            <v>51.766469132393972</v>
          </cell>
          <cell r="AE335">
            <v>0.9</v>
          </cell>
          <cell r="AF335">
            <v>51.766469132393972</v>
          </cell>
          <cell r="AG335">
            <v>0</v>
          </cell>
          <cell r="AH335">
            <v>51.766469132393972</v>
          </cell>
          <cell r="AI335">
            <v>0</v>
          </cell>
          <cell r="AJ335">
            <v>0</v>
          </cell>
          <cell r="AK335" t="str">
            <v>Extrusion</v>
          </cell>
          <cell r="AL335">
            <v>1569.9242977015685</v>
          </cell>
          <cell r="AM335">
            <v>0</v>
          </cell>
          <cell r="AN335">
            <v>0</v>
          </cell>
          <cell r="AO335">
            <v>0</v>
          </cell>
        </row>
        <row r="336">
          <cell r="K336" t="str">
            <v>SO24-2724</v>
          </cell>
          <cell r="L336" t="str">
            <v>NON- STOP-JADU-PUFF Rs 5/-[8/8/10/19]2.2OD[CW-300MM]</v>
          </cell>
          <cell r="M336">
            <v>0</v>
          </cell>
          <cell r="O336" t="str">
            <v>BAL</v>
          </cell>
          <cell r="P336">
            <v>2000</v>
          </cell>
          <cell r="Q336">
            <v>1</v>
          </cell>
          <cell r="R336">
            <v>2000</v>
          </cell>
          <cell r="S336" t="str">
            <v>KG</v>
          </cell>
          <cell r="T336">
            <v>455.85552717986127</v>
          </cell>
          <cell r="U336">
            <v>41.413175305915175</v>
          </cell>
          <cell r="V336">
            <v>0</v>
          </cell>
          <cell r="W336" t="str">
            <v>KG</v>
          </cell>
          <cell r="X336">
            <v>0</v>
          </cell>
          <cell r="Y336">
            <v>0</v>
          </cell>
          <cell r="Z336">
            <v>455.85552717986127</v>
          </cell>
          <cell r="AA336" t="str">
            <v>KG</v>
          </cell>
          <cell r="AB336">
            <v>41.413175305915175</v>
          </cell>
          <cell r="AC336">
            <v>455.85552717986127</v>
          </cell>
          <cell r="AD336">
            <v>41.413175305915175</v>
          </cell>
          <cell r="AE336">
            <v>0.9</v>
          </cell>
          <cell r="AF336">
            <v>41.413175305915175</v>
          </cell>
          <cell r="AG336">
            <v>0</v>
          </cell>
          <cell r="AH336">
            <v>41.413175305915175</v>
          </cell>
          <cell r="AI336">
            <v>0</v>
          </cell>
          <cell r="AJ336">
            <v>0</v>
          </cell>
          <cell r="AK336" t="str">
            <v>Extrusion</v>
          </cell>
          <cell r="AL336">
            <v>1255.9394381612549</v>
          </cell>
          <cell r="AM336">
            <v>0</v>
          </cell>
          <cell r="AN336">
            <v>0</v>
          </cell>
          <cell r="AO336">
            <v>0</v>
          </cell>
        </row>
        <row r="337">
          <cell r="K337" t="str">
            <v>SO24-2725</v>
          </cell>
          <cell r="L337" t="str">
            <v>Non Stop Onion Rin-Goo 5/-(300*200)</v>
          </cell>
          <cell r="M337" t="str">
            <v>C24-2744</v>
          </cell>
          <cell r="O337" t="str">
            <v>BAL</v>
          </cell>
          <cell r="P337">
            <v>1500</v>
          </cell>
          <cell r="Q337">
            <v>1</v>
          </cell>
          <cell r="R337">
            <v>1500</v>
          </cell>
          <cell r="S337" t="str">
            <v>KG</v>
          </cell>
          <cell r="T337">
            <v>389.08102766798419</v>
          </cell>
          <cell r="U337">
            <v>28.041875867962823</v>
          </cell>
          <cell r="V337" t="e">
            <v>#N/A</v>
          </cell>
          <cell r="W337" t="str">
            <v>KG</v>
          </cell>
          <cell r="X337">
            <v>0</v>
          </cell>
          <cell r="Y337">
            <v>0</v>
          </cell>
          <cell r="Z337">
            <v>389.08102766798419</v>
          </cell>
          <cell r="AA337" t="str">
            <v>KG</v>
          </cell>
          <cell r="AB337">
            <v>28.041875867962823</v>
          </cell>
          <cell r="AC337">
            <v>389.08102766798419</v>
          </cell>
          <cell r="AD337">
            <v>28.041875867962823</v>
          </cell>
          <cell r="AE337" t="e">
            <v>#N/A</v>
          </cell>
          <cell r="AF337">
            <v>28.041875867962823</v>
          </cell>
          <cell r="AG337" t="e">
            <v>#N/A</v>
          </cell>
          <cell r="AH337" t="e">
            <v>#N/A</v>
          </cell>
          <cell r="AI337">
            <v>0</v>
          </cell>
          <cell r="AJ337">
            <v>0</v>
          </cell>
          <cell r="AK337" t="str">
            <v>Extrusion</v>
          </cell>
          <cell r="AL337">
            <v>1001.3908102766798</v>
          </cell>
          <cell r="AM337">
            <v>0</v>
          </cell>
          <cell r="AN337">
            <v>0</v>
          </cell>
          <cell r="AO337">
            <v>0</v>
          </cell>
        </row>
        <row r="338">
          <cell r="K338" t="str">
            <v>SO24-2726</v>
          </cell>
          <cell r="L338" t="str">
            <v>Non Stop Pipe Rs 5/- (285X190)</v>
          </cell>
          <cell r="M338">
            <v>0</v>
          </cell>
          <cell r="O338" t="str">
            <v>BAL</v>
          </cell>
          <cell r="P338">
            <v>1500</v>
          </cell>
          <cell r="Q338">
            <v>1</v>
          </cell>
          <cell r="R338">
            <v>1500</v>
          </cell>
          <cell r="S338" t="str">
            <v>KG</v>
          </cell>
          <cell r="T338">
            <v>389.08102766798419</v>
          </cell>
          <cell r="U338">
            <v>22.265008736365335</v>
          </cell>
          <cell r="V338" t="e">
            <v>#N/A</v>
          </cell>
          <cell r="W338" t="str">
            <v>KG</v>
          </cell>
          <cell r="X338">
            <v>0</v>
          </cell>
          <cell r="Y338">
            <v>0</v>
          </cell>
          <cell r="Z338">
            <v>389.08102766798419</v>
          </cell>
          <cell r="AA338" t="str">
            <v>KG</v>
          </cell>
          <cell r="AB338">
            <v>22.265008736365335</v>
          </cell>
          <cell r="AC338">
            <v>389.08102766798419</v>
          </cell>
          <cell r="AD338">
            <v>22.265008736365335</v>
          </cell>
          <cell r="AE338" t="e">
            <v>#N/A</v>
          </cell>
          <cell r="AF338">
            <v>22.265008736365335</v>
          </cell>
          <cell r="AG338" t="e">
            <v>#N/A</v>
          </cell>
          <cell r="AH338" t="e">
            <v>#N/A</v>
          </cell>
          <cell r="AI338">
            <v>0</v>
          </cell>
          <cell r="AJ338">
            <v>0</v>
          </cell>
          <cell r="AK338" t="str">
            <v>Extrusion</v>
          </cell>
          <cell r="AL338">
            <v>1001.39081027668</v>
          </cell>
          <cell r="AM338">
            <v>0</v>
          </cell>
          <cell r="AN338">
            <v>0</v>
          </cell>
          <cell r="AO338">
            <v>0</v>
          </cell>
        </row>
        <row r="339">
          <cell r="K339" t="str">
            <v>SO24-2699</v>
          </cell>
          <cell r="L339" t="str">
            <v>NAUCERA COFFEE PREMIX PRINTED-1KG(MATT FINISH POUCH)NEW</v>
          </cell>
          <cell r="M339">
            <v>0</v>
          </cell>
          <cell r="O339" t="str">
            <v>BAL</v>
          </cell>
          <cell r="P339">
            <v>293</v>
          </cell>
          <cell r="Q339">
            <v>11.72</v>
          </cell>
          <cell r="R339">
            <v>25000</v>
          </cell>
          <cell r="S339" t="str">
            <v>NO</v>
          </cell>
          <cell r="T339">
            <v>56.927885862516192</v>
          </cell>
          <cell r="U339">
            <v>4.2091480733553324</v>
          </cell>
          <cell r="V339">
            <v>0</v>
          </cell>
          <cell r="W339" t="str">
            <v>NO</v>
          </cell>
          <cell r="X339">
            <v>0</v>
          </cell>
          <cell r="Y339">
            <v>0</v>
          </cell>
          <cell r="Z339">
            <v>56.927885862516192</v>
          </cell>
          <cell r="AA339" t="str">
            <v>NO</v>
          </cell>
          <cell r="AB339">
            <v>4.2091480733553324</v>
          </cell>
          <cell r="AC339">
            <v>56.927885862516192</v>
          </cell>
          <cell r="AD339">
            <v>4.2091480733553324</v>
          </cell>
          <cell r="AE339">
            <v>0.78</v>
          </cell>
          <cell r="AF339">
            <v>0</v>
          </cell>
          <cell r="AG339">
            <v>0</v>
          </cell>
          <cell r="AH339">
            <v>8.4182961467106647</v>
          </cell>
          <cell r="AI339">
            <v>0</v>
          </cell>
          <cell r="AJ339">
            <v>0</v>
          </cell>
          <cell r="AK339" t="str">
            <v>solv.Less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</row>
        <row r="340">
          <cell r="K340" t="str">
            <v>SO24-2687</v>
          </cell>
          <cell r="L340" t="str">
            <v>BUNMASTER CLASSIC BREAD SMALL (330X230)</v>
          </cell>
          <cell r="M340">
            <v>0</v>
          </cell>
          <cell r="O340" t="str">
            <v>BAL</v>
          </cell>
          <cell r="P340">
            <v>700</v>
          </cell>
          <cell r="Q340">
            <v>1</v>
          </cell>
          <cell r="R340">
            <v>700</v>
          </cell>
          <cell r="S340" t="str">
            <v>KG</v>
          </cell>
          <cell r="T340">
            <v>318.38709677419354</v>
          </cell>
          <cell r="U340">
            <v>24.905123339658445</v>
          </cell>
          <cell r="V340" t="e">
            <v>#N/A</v>
          </cell>
          <cell r="W340" t="str">
            <v>KG</v>
          </cell>
          <cell r="X340">
            <v>0</v>
          </cell>
          <cell r="Y340">
            <v>0</v>
          </cell>
          <cell r="Z340">
            <v>318.38709677419354</v>
          </cell>
          <cell r="AA340" t="str">
            <v>KG</v>
          </cell>
          <cell r="AB340">
            <v>24.905123339658445</v>
          </cell>
          <cell r="AC340">
            <v>318.38709677419354</v>
          </cell>
          <cell r="AD340">
            <v>24.905123339658445</v>
          </cell>
          <cell r="AE340" t="e">
            <v>#N/A</v>
          </cell>
          <cell r="AF340">
            <v>0</v>
          </cell>
          <cell r="AG340" t="e">
            <v>#N/A</v>
          </cell>
          <cell r="AH340" t="e">
            <v>#N/A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</row>
        <row r="341">
          <cell r="K341" t="str">
            <v>SO24-2704</v>
          </cell>
          <cell r="L341" t="str">
            <v>Mukti Mustard Oil 1 Ltr</v>
          </cell>
          <cell r="M341">
            <v>0</v>
          </cell>
          <cell r="O341" t="str">
            <v>BAL</v>
          </cell>
          <cell r="P341">
            <v>400</v>
          </cell>
          <cell r="Q341">
            <v>1</v>
          </cell>
          <cell r="R341">
            <v>400</v>
          </cell>
          <cell r="S341" t="str">
            <v>KG</v>
          </cell>
          <cell r="T341" t="e">
            <v>#N/A</v>
          </cell>
          <cell r="U341" t="e">
            <v>#N/A</v>
          </cell>
          <cell r="V341" t="e">
            <v>#N/A</v>
          </cell>
          <cell r="W341" t="str">
            <v>KG</v>
          </cell>
          <cell r="X341">
            <v>0</v>
          </cell>
          <cell r="Y341" t="e">
            <v>#N/A</v>
          </cell>
          <cell r="Z341" t="e">
            <v>#N/A</v>
          </cell>
          <cell r="AA341" t="str">
            <v>KG</v>
          </cell>
          <cell r="AB341" t="e">
            <v>#N/A</v>
          </cell>
          <cell r="AC341" t="e">
            <v>#N/A</v>
          </cell>
          <cell r="AD341" t="e">
            <v>#N/A</v>
          </cell>
          <cell r="AE341" t="e">
            <v>#N/A</v>
          </cell>
          <cell r="AF341" t="e">
            <v>#N/A</v>
          </cell>
          <cell r="AG341" t="e">
            <v>#N/A</v>
          </cell>
          <cell r="AH341" t="e">
            <v>#N/A</v>
          </cell>
          <cell r="AI341">
            <v>0</v>
          </cell>
          <cell r="AJ341">
            <v>0</v>
          </cell>
          <cell r="AK341" t="e">
            <v>#N/A</v>
          </cell>
          <cell r="AL341" t="e">
            <v>#N/A</v>
          </cell>
          <cell r="AM341">
            <v>0</v>
          </cell>
          <cell r="AN341">
            <v>0</v>
          </cell>
          <cell r="AO341">
            <v>0</v>
          </cell>
        </row>
        <row r="342">
          <cell r="K342" t="str">
            <v>SO24-2701</v>
          </cell>
          <cell r="L342" t="str">
            <v>Machan Morok</v>
          </cell>
          <cell r="M342">
            <v>0</v>
          </cell>
          <cell r="O342" t="str">
            <v>BAL</v>
          </cell>
          <cell r="P342">
            <v>500</v>
          </cell>
          <cell r="Q342">
            <v>1</v>
          </cell>
          <cell r="R342">
            <v>500</v>
          </cell>
          <cell r="S342" t="str">
            <v>KG</v>
          </cell>
          <cell r="T342" t="e">
            <v>#N/A</v>
          </cell>
          <cell r="U342" t="e">
            <v>#N/A</v>
          </cell>
          <cell r="V342" t="e">
            <v>#N/A</v>
          </cell>
          <cell r="W342" t="str">
            <v>KG</v>
          </cell>
          <cell r="X342">
            <v>0</v>
          </cell>
          <cell r="Y342" t="e">
            <v>#N/A</v>
          </cell>
          <cell r="Z342" t="e">
            <v>#N/A</v>
          </cell>
          <cell r="AA342" t="str">
            <v>KG</v>
          </cell>
          <cell r="AB342" t="e">
            <v>#N/A</v>
          </cell>
          <cell r="AC342" t="e">
            <v>#N/A</v>
          </cell>
          <cell r="AD342" t="e">
            <v>#N/A</v>
          </cell>
          <cell r="AE342" t="e">
            <v>#N/A</v>
          </cell>
          <cell r="AF342" t="e">
            <v>#N/A</v>
          </cell>
          <cell r="AG342" t="e">
            <v>#N/A</v>
          </cell>
          <cell r="AH342" t="e">
            <v>#N/A</v>
          </cell>
          <cell r="AI342">
            <v>0</v>
          </cell>
          <cell r="AJ342">
            <v>0</v>
          </cell>
          <cell r="AK342" t="e">
            <v>#N/A</v>
          </cell>
          <cell r="AL342" t="e">
            <v>#N/A</v>
          </cell>
          <cell r="AM342">
            <v>0</v>
          </cell>
          <cell r="AN342">
            <v>0</v>
          </cell>
          <cell r="AO342">
            <v>0</v>
          </cell>
        </row>
        <row r="343">
          <cell r="K343" t="str">
            <v>SO24-2700</v>
          </cell>
          <cell r="L343" t="str">
            <v>5 ZERO 3 IN 1(CHINCHEN PINCHEN,FIRE KRACKERS,NXT-BITE)RS.5</v>
          </cell>
          <cell r="M343">
            <v>0</v>
          </cell>
          <cell r="O343" t="str">
            <v>BAL</v>
          </cell>
          <cell r="P343">
            <v>1000</v>
          </cell>
          <cell r="Q343">
            <v>1</v>
          </cell>
          <cell r="R343">
            <v>1000</v>
          </cell>
          <cell r="S343" t="str">
            <v>KG</v>
          </cell>
          <cell r="T343">
            <v>258.96086813548175</v>
          </cell>
          <cell r="U343">
            <v>20.191880556372844</v>
          </cell>
          <cell r="V343" t="e">
            <v>#N/A</v>
          </cell>
          <cell r="W343" t="str">
            <v>KG</v>
          </cell>
          <cell r="X343">
            <v>0</v>
          </cell>
          <cell r="Y343">
            <v>0</v>
          </cell>
          <cell r="Z343">
            <v>258.96086813548175</v>
          </cell>
          <cell r="AA343" t="str">
            <v>KG</v>
          </cell>
          <cell r="AB343">
            <v>20.191880556372844</v>
          </cell>
          <cell r="AC343">
            <v>258.96086813548175</v>
          </cell>
          <cell r="AD343">
            <v>20.191880556372844</v>
          </cell>
          <cell r="AE343" t="e">
            <v>#N/A</v>
          </cell>
          <cell r="AF343">
            <v>20.191880556372844</v>
          </cell>
          <cell r="AG343" t="e">
            <v>#N/A</v>
          </cell>
          <cell r="AH343" t="e">
            <v>#N/A</v>
          </cell>
          <cell r="AI343">
            <v>0</v>
          </cell>
          <cell r="AJ343">
            <v>0</v>
          </cell>
          <cell r="AK343">
            <v>0</v>
          </cell>
          <cell r="AL343">
            <v>669.84544557711274</v>
          </cell>
          <cell r="AM343">
            <v>0</v>
          </cell>
          <cell r="AN343">
            <v>0</v>
          </cell>
          <cell r="AO343">
            <v>0</v>
          </cell>
        </row>
        <row r="344">
          <cell r="K344" t="str">
            <v>SO24-2703</v>
          </cell>
          <cell r="L344" t="str">
            <v>Rujani Tea Rs.10 Strong</v>
          </cell>
          <cell r="M344">
            <v>0</v>
          </cell>
          <cell r="O344" t="str">
            <v>BAL</v>
          </cell>
          <cell r="P344">
            <v>300</v>
          </cell>
          <cell r="Q344">
            <v>1</v>
          </cell>
          <cell r="R344">
            <v>300</v>
          </cell>
          <cell r="S344" t="str">
            <v>KG</v>
          </cell>
          <cell r="T344">
            <v>78.126649076517126</v>
          </cell>
          <cell r="U344">
            <v>6.1112835635573477</v>
          </cell>
          <cell r="V344" t="e">
            <v>#N/A</v>
          </cell>
          <cell r="W344" t="str">
            <v>KG</v>
          </cell>
          <cell r="X344">
            <v>0</v>
          </cell>
          <cell r="Y344">
            <v>0</v>
          </cell>
          <cell r="Z344">
            <v>78.126649076517126</v>
          </cell>
          <cell r="AA344" t="str">
            <v>KG</v>
          </cell>
          <cell r="AB344">
            <v>6.1112835635573477</v>
          </cell>
          <cell r="AC344">
            <v>78.126649076517126</v>
          </cell>
          <cell r="AD344">
            <v>6.1112835635573477</v>
          </cell>
          <cell r="AE344" t="e">
            <v>#N/A</v>
          </cell>
          <cell r="AF344">
            <v>0</v>
          </cell>
          <cell r="AG344" t="e">
            <v>#N/A</v>
          </cell>
          <cell r="AH344" t="e">
            <v>#N/A</v>
          </cell>
          <cell r="AI344">
            <v>0</v>
          </cell>
          <cell r="AJ344">
            <v>0</v>
          </cell>
          <cell r="AK344" t="str">
            <v>solv.Less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</row>
        <row r="345">
          <cell r="K345" t="str">
            <v>SO24-2706</v>
          </cell>
          <cell r="L345" t="str">
            <v>Transparent center Sealed Trial Pouch  (130 X 279.5) Royyal Bakery</v>
          </cell>
          <cell r="M345">
            <v>0</v>
          </cell>
          <cell r="O345" t="str">
            <v>BAL</v>
          </cell>
          <cell r="P345">
            <v>50</v>
          </cell>
          <cell r="Q345">
            <v>1</v>
          </cell>
          <cell r="R345">
            <v>50</v>
          </cell>
          <cell r="S345" t="str">
            <v>KG</v>
          </cell>
          <cell r="T345" t="e">
            <v>#N/A</v>
          </cell>
          <cell r="U345" t="e">
            <v>#N/A</v>
          </cell>
          <cell r="V345" t="e">
            <v>#N/A</v>
          </cell>
          <cell r="W345" t="str">
            <v>KG</v>
          </cell>
          <cell r="X345">
            <v>0</v>
          </cell>
          <cell r="Y345" t="e">
            <v>#N/A</v>
          </cell>
          <cell r="Z345" t="e">
            <v>#N/A</v>
          </cell>
          <cell r="AA345" t="str">
            <v>KG</v>
          </cell>
          <cell r="AB345" t="e">
            <v>#N/A</v>
          </cell>
          <cell r="AC345" t="e">
            <v>#N/A</v>
          </cell>
          <cell r="AD345" t="e">
            <v>#N/A</v>
          </cell>
          <cell r="AE345" t="e">
            <v>#N/A</v>
          </cell>
          <cell r="AF345" t="e">
            <v>#N/A</v>
          </cell>
          <cell r="AG345" t="e">
            <v>#N/A</v>
          </cell>
          <cell r="AH345" t="e">
            <v>#N/A</v>
          </cell>
          <cell r="AI345">
            <v>0</v>
          </cell>
          <cell r="AJ345">
            <v>0</v>
          </cell>
          <cell r="AK345" t="e">
            <v>#N/A</v>
          </cell>
          <cell r="AL345" t="e">
            <v>#N/A</v>
          </cell>
          <cell r="AM345">
            <v>0</v>
          </cell>
          <cell r="AN345">
            <v>0</v>
          </cell>
          <cell r="AO345">
            <v>0</v>
          </cell>
        </row>
        <row r="346">
          <cell r="K346" t="str">
            <v>SO24-2743</v>
          </cell>
          <cell r="L346" t="str">
            <v>BR-TTP 250-TT250 gm -Autobundle TCPL Perforated Ptd (600MMX55mic) (0172) R1</v>
          </cell>
          <cell r="M346">
            <v>0</v>
          </cell>
          <cell r="O346" t="str">
            <v>BAL</v>
          </cell>
          <cell r="P346">
            <v>500</v>
          </cell>
          <cell r="Q346">
            <v>1</v>
          </cell>
          <cell r="R346">
            <v>500</v>
          </cell>
          <cell r="S346" t="str">
            <v>KG</v>
          </cell>
          <cell r="T346">
            <v>530</v>
          </cell>
          <cell r="U346">
            <v>17.069792907984155</v>
          </cell>
          <cell r="V346" t="e">
            <v>#N/A</v>
          </cell>
          <cell r="W346" t="str">
            <v>KG</v>
          </cell>
          <cell r="X346">
            <v>0</v>
          </cell>
          <cell r="Y346">
            <v>0</v>
          </cell>
          <cell r="Z346">
            <v>530</v>
          </cell>
          <cell r="AA346" t="str">
            <v>KG</v>
          </cell>
          <cell r="AB346">
            <v>17.069792907984155</v>
          </cell>
          <cell r="AC346">
            <v>530</v>
          </cell>
          <cell r="AD346">
            <v>17.069792907984155</v>
          </cell>
          <cell r="AE346" t="e">
            <v>#N/A</v>
          </cell>
          <cell r="AF346">
            <v>0</v>
          </cell>
          <cell r="AG346" t="e">
            <v>#N/A</v>
          </cell>
          <cell r="AH346" t="e">
            <v>#N/A</v>
          </cell>
          <cell r="AI346">
            <v>0</v>
          </cell>
          <cell r="AJ346">
            <v>0</v>
          </cell>
          <cell r="AK346" t="str">
            <v>Slitting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</row>
        <row r="347">
          <cell r="K347" t="str">
            <v>SO24-2744</v>
          </cell>
          <cell r="L347" t="str">
            <v>PTD-TATA TEA BUNDLING ROLL TTG RS-10/-(480MMX53MIC)(0182)NEW</v>
          </cell>
          <cell r="M347">
            <v>0</v>
          </cell>
          <cell r="O347" t="str">
            <v>BAL</v>
          </cell>
          <cell r="P347">
            <v>500</v>
          </cell>
          <cell r="Q347">
            <v>1</v>
          </cell>
          <cell r="R347">
            <v>500</v>
          </cell>
          <cell r="S347" t="str">
            <v>KG</v>
          </cell>
          <cell r="T347">
            <v>530.00000000000011</v>
          </cell>
          <cell r="U347">
            <v>11.091996601244817</v>
          </cell>
          <cell r="V347">
            <v>0</v>
          </cell>
          <cell r="W347" t="str">
            <v>KG</v>
          </cell>
          <cell r="X347">
            <v>0</v>
          </cell>
          <cell r="Y347">
            <v>0</v>
          </cell>
          <cell r="Z347">
            <v>530.00000000000011</v>
          </cell>
          <cell r="AA347" t="str">
            <v>KG</v>
          </cell>
          <cell r="AB347">
            <v>11.091996601244817</v>
          </cell>
          <cell r="AC347">
            <v>530.00000000000011</v>
          </cell>
          <cell r="AD347">
            <v>11.091996601244817</v>
          </cell>
          <cell r="AE347">
            <v>0.96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</row>
        <row r="348">
          <cell r="K348" t="str">
            <v>SO24-2745</v>
          </cell>
          <cell r="L348" t="str">
            <v>BR- TTP R 10- TCPL(460mmX53mic)(0186) R1</v>
          </cell>
          <cell r="M348">
            <v>0</v>
          </cell>
          <cell r="O348" t="str">
            <v>BAL</v>
          </cell>
          <cell r="P348">
            <v>500</v>
          </cell>
          <cell r="Q348">
            <v>1</v>
          </cell>
          <cell r="R348">
            <v>500</v>
          </cell>
          <cell r="S348" t="str">
            <v>KG</v>
          </cell>
          <cell r="T348">
            <v>530.00000000000011</v>
          </cell>
          <cell r="U348">
            <v>11.569071723879002</v>
          </cell>
          <cell r="V348" t="e">
            <v>#N/A</v>
          </cell>
          <cell r="W348" t="str">
            <v>KG</v>
          </cell>
          <cell r="X348">
            <v>0</v>
          </cell>
          <cell r="Y348">
            <v>0</v>
          </cell>
          <cell r="Z348">
            <v>530.00000000000011</v>
          </cell>
          <cell r="AA348" t="str">
            <v>KG</v>
          </cell>
          <cell r="AB348">
            <v>11.569071723879002</v>
          </cell>
          <cell r="AC348">
            <v>530.00000000000011</v>
          </cell>
          <cell r="AD348">
            <v>11.569071723879002</v>
          </cell>
          <cell r="AE348" t="e">
            <v>#N/A</v>
          </cell>
          <cell r="AF348">
            <v>0</v>
          </cell>
          <cell r="AG348" t="e">
            <v>#N/A</v>
          </cell>
          <cell r="AH348" t="e">
            <v>#N/A</v>
          </cell>
          <cell r="AI348">
            <v>0</v>
          </cell>
          <cell r="AJ348">
            <v>0</v>
          </cell>
          <cell r="AK348" t="str">
            <v>Slitting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</row>
        <row r="349">
          <cell r="K349" t="str">
            <v>SO24-2746</v>
          </cell>
          <cell r="L349" t="str">
            <v>BR- TTA/TTP 100- TCPL(700mmX53mic)(20000000004821) R1</v>
          </cell>
          <cell r="M349">
            <v>0</v>
          </cell>
          <cell r="O349" t="str">
            <v>BAL</v>
          </cell>
          <cell r="P349">
            <v>1300</v>
          </cell>
          <cell r="Q349">
            <v>1</v>
          </cell>
          <cell r="R349">
            <v>1300</v>
          </cell>
          <cell r="S349" t="str">
            <v>KG</v>
          </cell>
          <cell r="T349">
            <v>1378</v>
          </cell>
          <cell r="U349">
            <v>39.560641468050044</v>
          </cell>
          <cell r="V349" t="e">
            <v>#N/A</v>
          </cell>
          <cell r="W349" t="str">
            <v>KG</v>
          </cell>
          <cell r="X349">
            <v>0</v>
          </cell>
          <cell r="Y349">
            <v>0</v>
          </cell>
          <cell r="Z349">
            <v>1378</v>
          </cell>
          <cell r="AA349" t="str">
            <v>KG</v>
          </cell>
          <cell r="AB349">
            <v>39.560641468050044</v>
          </cell>
          <cell r="AC349">
            <v>1378</v>
          </cell>
          <cell r="AD349">
            <v>39.560641468050044</v>
          </cell>
          <cell r="AE349" t="e">
            <v>#N/A</v>
          </cell>
          <cell r="AF349">
            <v>0</v>
          </cell>
          <cell r="AG349" t="e">
            <v>#N/A</v>
          </cell>
          <cell r="AH349" t="e">
            <v>#N/A</v>
          </cell>
          <cell r="AI349">
            <v>0</v>
          </cell>
          <cell r="AJ349">
            <v>0</v>
          </cell>
          <cell r="AK349" t="str">
            <v>Slitting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</row>
        <row r="350">
          <cell r="K350" t="str">
            <v>SO24-2747</v>
          </cell>
          <cell r="L350" t="str">
            <v>Bundling Roll Tata Tea Premium Rs-5/- Buff(410mmX53mic)(4255)R1</v>
          </cell>
          <cell r="M350">
            <v>0</v>
          </cell>
          <cell r="O350" t="str">
            <v>BAL</v>
          </cell>
          <cell r="P350">
            <v>500</v>
          </cell>
          <cell r="Q350">
            <v>1</v>
          </cell>
          <cell r="R350">
            <v>500</v>
          </cell>
          <cell r="S350" t="str">
            <v>KG</v>
          </cell>
          <cell r="T350">
            <v>530</v>
          </cell>
          <cell r="U350">
            <v>13.015781020535464</v>
          </cell>
          <cell r="V350" t="e">
            <v>#N/A</v>
          </cell>
          <cell r="W350" t="str">
            <v>KG</v>
          </cell>
          <cell r="X350">
            <v>0</v>
          </cell>
          <cell r="Y350">
            <v>0</v>
          </cell>
          <cell r="Z350">
            <v>530</v>
          </cell>
          <cell r="AA350" t="str">
            <v>KG</v>
          </cell>
          <cell r="AB350">
            <v>13.015781020535464</v>
          </cell>
          <cell r="AC350">
            <v>530</v>
          </cell>
          <cell r="AD350">
            <v>13.015781020535464</v>
          </cell>
          <cell r="AE350" t="e">
            <v>#N/A</v>
          </cell>
          <cell r="AF350">
            <v>0</v>
          </cell>
          <cell r="AG350" t="e">
            <v>#N/A</v>
          </cell>
          <cell r="AH350" t="e">
            <v>#N/A</v>
          </cell>
          <cell r="AI350">
            <v>0</v>
          </cell>
          <cell r="AJ350">
            <v>0</v>
          </cell>
          <cell r="AK350" t="str">
            <v>Slitting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</row>
        <row r="351">
          <cell r="K351" t="str">
            <v>SO24-2748</v>
          </cell>
          <cell r="L351" t="str">
            <v>BR- TTP 40 B- TCPL(20000000004360)</v>
          </cell>
          <cell r="M351">
            <v>0</v>
          </cell>
          <cell r="O351" t="str">
            <v>BAL</v>
          </cell>
          <cell r="P351">
            <v>800</v>
          </cell>
          <cell r="Q351">
            <v>1</v>
          </cell>
          <cell r="R351">
            <v>800</v>
          </cell>
          <cell r="S351" t="str">
            <v>KG</v>
          </cell>
          <cell r="T351">
            <v>848</v>
          </cell>
          <cell r="U351">
            <v>26.592241838878607</v>
          </cell>
          <cell r="V351" t="e">
            <v>#N/A</v>
          </cell>
          <cell r="W351" t="str">
            <v>KG</v>
          </cell>
          <cell r="X351">
            <v>0</v>
          </cell>
          <cell r="Y351">
            <v>0</v>
          </cell>
          <cell r="Z351">
            <v>848</v>
          </cell>
          <cell r="AA351" t="str">
            <v>KG</v>
          </cell>
          <cell r="AB351">
            <v>26.592241838878607</v>
          </cell>
          <cell r="AC351">
            <v>848</v>
          </cell>
          <cell r="AD351">
            <v>26.592241838878607</v>
          </cell>
          <cell r="AE351" t="e">
            <v>#N/A</v>
          </cell>
          <cell r="AF351">
            <v>0</v>
          </cell>
          <cell r="AG351" t="e">
            <v>#N/A</v>
          </cell>
          <cell r="AH351" t="e">
            <v>#N/A</v>
          </cell>
          <cell r="AI351">
            <v>0</v>
          </cell>
          <cell r="AJ351">
            <v>0</v>
          </cell>
          <cell r="AK351" t="str">
            <v>Slitting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</row>
        <row r="352">
          <cell r="K352" t="str">
            <v>SO24-2698</v>
          </cell>
          <cell r="L352" t="str">
            <v>PMC Soya Chunks Mini Yellow Rs 5/- R1</v>
          </cell>
          <cell r="M352">
            <v>0</v>
          </cell>
          <cell r="O352" t="str">
            <v>BAL</v>
          </cell>
          <cell r="P352">
            <v>1000</v>
          </cell>
          <cell r="Q352">
            <v>1</v>
          </cell>
          <cell r="R352">
            <v>1000</v>
          </cell>
          <cell r="S352" t="str">
            <v>KG</v>
          </cell>
          <cell r="T352">
            <v>244.31372549019602</v>
          </cell>
          <cell r="U352">
            <v>20.184544405997688</v>
          </cell>
          <cell r="V352" t="e">
            <v>#N/A</v>
          </cell>
          <cell r="W352" t="str">
            <v>KG</v>
          </cell>
          <cell r="X352">
            <v>0</v>
          </cell>
          <cell r="Y352">
            <v>0</v>
          </cell>
          <cell r="Z352">
            <v>244.31372549019602</v>
          </cell>
          <cell r="AA352" t="str">
            <v>KG</v>
          </cell>
          <cell r="AB352">
            <v>20.184544405997688</v>
          </cell>
          <cell r="AC352">
            <v>244.31372549019602</v>
          </cell>
          <cell r="AD352">
            <v>20.184544405997688</v>
          </cell>
          <cell r="AE352" t="e">
            <v>#N/A</v>
          </cell>
          <cell r="AF352">
            <v>0</v>
          </cell>
          <cell r="AG352" t="e">
            <v>#N/A</v>
          </cell>
          <cell r="AH352" t="e">
            <v>#N/A</v>
          </cell>
          <cell r="AI352">
            <v>0</v>
          </cell>
          <cell r="AJ352">
            <v>0</v>
          </cell>
          <cell r="AK352" t="str">
            <v>solv.Less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</row>
        <row r="353">
          <cell r="K353" t="str">
            <v>SO24-2705</v>
          </cell>
          <cell r="L353" t="str">
            <v>New Lata Enterprise Dalmut</v>
          </cell>
          <cell r="M353">
            <v>0</v>
          </cell>
          <cell r="O353" t="str">
            <v>BAL</v>
          </cell>
          <cell r="P353">
            <v>300</v>
          </cell>
          <cell r="Q353">
            <v>1</v>
          </cell>
          <cell r="R353">
            <v>300</v>
          </cell>
          <cell r="S353" t="str">
            <v>KG</v>
          </cell>
          <cell r="T353" t="e">
            <v>#N/A</v>
          </cell>
          <cell r="U353" t="e">
            <v>#N/A</v>
          </cell>
          <cell r="V353" t="e">
            <v>#N/A</v>
          </cell>
          <cell r="W353" t="str">
            <v>KG</v>
          </cell>
          <cell r="X353">
            <v>0</v>
          </cell>
          <cell r="Y353" t="e">
            <v>#N/A</v>
          </cell>
          <cell r="Z353" t="e">
            <v>#N/A</v>
          </cell>
          <cell r="AA353" t="str">
            <v>KG</v>
          </cell>
          <cell r="AB353" t="e">
            <v>#N/A</v>
          </cell>
          <cell r="AC353" t="e">
            <v>#N/A</v>
          </cell>
          <cell r="AD353" t="e">
            <v>#N/A</v>
          </cell>
          <cell r="AE353" t="e">
            <v>#N/A</v>
          </cell>
          <cell r="AF353" t="e">
            <v>#N/A</v>
          </cell>
          <cell r="AG353" t="e">
            <v>#N/A</v>
          </cell>
          <cell r="AH353" t="e">
            <v>#N/A</v>
          </cell>
          <cell r="AI353">
            <v>0</v>
          </cell>
          <cell r="AJ353">
            <v>0</v>
          </cell>
          <cell r="AK353" t="e">
            <v>#N/A</v>
          </cell>
          <cell r="AL353" t="e">
            <v>#N/A</v>
          </cell>
          <cell r="AM353">
            <v>0</v>
          </cell>
          <cell r="AN353">
            <v>0</v>
          </cell>
          <cell r="AO353">
            <v>0</v>
          </cell>
        </row>
        <row r="354">
          <cell r="K354" t="str">
            <v>SO24-2751</v>
          </cell>
          <cell r="L354" t="str">
            <v>Durga Polar Jola Chanachur Rs 5/-</v>
          </cell>
          <cell r="M354">
            <v>0</v>
          </cell>
          <cell r="O354" t="str">
            <v>BAL</v>
          </cell>
          <cell r="P354">
            <v>3000</v>
          </cell>
          <cell r="Q354">
            <v>1</v>
          </cell>
          <cell r="R354">
            <v>3000</v>
          </cell>
          <cell r="S354" t="str">
            <v>KG</v>
          </cell>
          <cell r="T354">
            <v>778.16205533596838</v>
          </cell>
          <cell r="U354">
            <v>46.113306982872203</v>
          </cell>
          <cell r="V354" t="e">
            <v>#N/A</v>
          </cell>
          <cell r="W354" t="str">
            <v>KG</v>
          </cell>
          <cell r="X354">
            <v>0</v>
          </cell>
          <cell r="Y354">
            <v>0</v>
          </cell>
          <cell r="Z354">
            <v>778.16205533596838</v>
          </cell>
          <cell r="AA354" t="str">
            <v>KG</v>
          </cell>
          <cell r="AB354">
            <v>46.113306982872203</v>
          </cell>
          <cell r="AC354">
            <v>778.16205533596838</v>
          </cell>
          <cell r="AD354">
            <v>46.113306982872203</v>
          </cell>
          <cell r="AE354" t="e">
            <v>#N/A</v>
          </cell>
          <cell r="AF354">
            <v>46.113306982872203</v>
          </cell>
          <cell r="AG354" t="e">
            <v>#N/A</v>
          </cell>
          <cell r="AH354" t="e">
            <v>#N/A</v>
          </cell>
          <cell r="AI354">
            <v>0</v>
          </cell>
          <cell r="AJ354">
            <v>0</v>
          </cell>
          <cell r="AK354" t="str">
            <v>Extrusion</v>
          </cell>
          <cell r="AL354">
            <v>2002.78162055336</v>
          </cell>
          <cell r="AM354">
            <v>0</v>
          </cell>
          <cell r="AN354">
            <v>0</v>
          </cell>
          <cell r="AO354">
            <v>0</v>
          </cell>
        </row>
        <row r="355">
          <cell r="K355" t="str">
            <v>SO24-2749</v>
          </cell>
          <cell r="L355" t="str">
            <v>Repose Lidding Film POUCH(300X230)</v>
          </cell>
          <cell r="M355">
            <v>0</v>
          </cell>
          <cell r="O355" t="str">
            <v>BAL</v>
          </cell>
          <cell r="P355">
            <v>250</v>
          </cell>
          <cell r="Q355">
            <v>1</v>
          </cell>
          <cell r="R355">
            <v>250</v>
          </cell>
          <cell r="S355" t="str">
            <v>KG</v>
          </cell>
          <cell r="T355" t="e">
            <v>#N/A</v>
          </cell>
          <cell r="U355" t="e">
            <v>#N/A</v>
          </cell>
          <cell r="V355" t="e">
            <v>#N/A</v>
          </cell>
          <cell r="W355" t="str">
            <v>KG</v>
          </cell>
          <cell r="X355">
            <v>0</v>
          </cell>
          <cell r="Y355" t="e">
            <v>#N/A</v>
          </cell>
          <cell r="Z355" t="e">
            <v>#N/A</v>
          </cell>
          <cell r="AA355" t="str">
            <v>KG</v>
          </cell>
          <cell r="AB355" t="e">
            <v>#N/A</v>
          </cell>
          <cell r="AC355" t="e">
            <v>#N/A</v>
          </cell>
          <cell r="AD355" t="e">
            <v>#N/A</v>
          </cell>
          <cell r="AE355" t="e">
            <v>#N/A</v>
          </cell>
          <cell r="AF355" t="e">
            <v>#N/A</v>
          </cell>
          <cell r="AG355" t="e">
            <v>#N/A</v>
          </cell>
          <cell r="AH355" t="e">
            <v>#N/A</v>
          </cell>
          <cell r="AI355">
            <v>0</v>
          </cell>
          <cell r="AJ355">
            <v>0</v>
          </cell>
          <cell r="AK355" t="e">
            <v>#N/A</v>
          </cell>
          <cell r="AL355" t="e">
            <v>#N/A</v>
          </cell>
          <cell r="AM355">
            <v>0</v>
          </cell>
          <cell r="AN355">
            <v>0</v>
          </cell>
          <cell r="AO355">
            <v>0</v>
          </cell>
        </row>
        <row r="356">
          <cell r="K356" t="str">
            <v>SO24-2750</v>
          </cell>
          <cell r="L356" t="str">
            <v>Repose Lidding Film POUCH(230X235)</v>
          </cell>
          <cell r="M356">
            <v>0</v>
          </cell>
          <cell r="O356" t="str">
            <v>BAL</v>
          </cell>
          <cell r="P356">
            <v>250</v>
          </cell>
          <cell r="Q356">
            <v>1</v>
          </cell>
          <cell r="R356">
            <v>250</v>
          </cell>
          <cell r="S356" t="str">
            <v>KG</v>
          </cell>
          <cell r="T356" t="e">
            <v>#N/A</v>
          </cell>
          <cell r="U356" t="e">
            <v>#N/A</v>
          </cell>
          <cell r="V356" t="e">
            <v>#N/A</v>
          </cell>
          <cell r="W356" t="str">
            <v>KG</v>
          </cell>
          <cell r="X356">
            <v>0</v>
          </cell>
          <cell r="Y356" t="e">
            <v>#N/A</v>
          </cell>
          <cell r="Z356" t="e">
            <v>#N/A</v>
          </cell>
          <cell r="AA356" t="str">
            <v>KG</v>
          </cell>
          <cell r="AB356" t="e">
            <v>#N/A</v>
          </cell>
          <cell r="AC356" t="e">
            <v>#N/A</v>
          </cell>
          <cell r="AD356" t="e">
            <v>#N/A</v>
          </cell>
          <cell r="AE356" t="e">
            <v>#N/A</v>
          </cell>
          <cell r="AF356" t="e">
            <v>#N/A</v>
          </cell>
          <cell r="AG356" t="e">
            <v>#N/A</v>
          </cell>
          <cell r="AH356" t="e">
            <v>#N/A</v>
          </cell>
          <cell r="AI356">
            <v>0</v>
          </cell>
          <cell r="AJ356">
            <v>0</v>
          </cell>
          <cell r="AK356" t="e">
            <v>#N/A</v>
          </cell>
          <cell r="AL356" t="e">
            <v>#N/A</v>
          </cell>
          <cell r="AM356">
            <v>0</v>
          </cell>
          <cell r="AN356">
            <v>0</v>
          </cell>
          <cell r="AO356">
            <v>0</v>
          </cell>
        </row>
        <row r="357">
          <cell r="K357" t="str">
            <v>SO24-2728</v>
          </cell>
          <cell r="L357" t="str">
            <v>Wrapper Wai Wai Rin Tin Noodle Ch (New)4010000355</v>
          </cell>
          <cell r="M357">
            <v>0</v>
          </cell>
          <cell r="O357" t="str">
            <v>BAL</v>
          </cell>
          <cell r="P357">
            <v>15000</v>
          </cell>
          <cell r="Q357">
            <v>1</v>
          </cell>
          <cell r="R357">
            <v>15000</v>
          </cell>
          <cell r="S357" t="str">
            <v>KG</v>
          </cell>
          <cell r="T357">
            <v>6952.6462395543176</v>
          </cell>
          <cell r="U357">
            <v>395.03671815649528</v>
          </cell>
          <cell r="V357" t="e">
            <v>#N/A</v>
          </cell>
          <cell r="W357" t="str">
            <v>KG</v>
          </cell>
          <cell r="X357">
            <v>0</v>
          </cell>
          <cell r="Y357">
            <v>0</v>
          </cell>
          <cell r="Z357">
            <v>6952.6462395543176</v>
          </cell>
          <cell r="AA357" t="str">
            <v>KG</v>
          </cell>
          <cell r="AB357">
            <v>395.03671815649528</v>
          </cell>
          <cell r="AC357">
            <v>6952.6462395543176</v>
          </cell>
          <cell r="AD357">
            <v>395.03671815649528</v>
          </cell>
          <cell r="AE357" t="e">
            <v>#N/A</v>
          </cell>
          <cell r="AF357">
            <v>0</v>
          </cell>
          <cell r="AG357" t="e">
            <v>#N/A</v>
          </cell>
          <cell r="AH357" t="e">
            <v>#N/A</v>
          </cell>
          <cell r="AI357">
            <v>0</v>
          </cell>
          <cell r="AJ357">
            <v>0</v>
          </cell>
          <cell r="AK357" t="str">
            <v>solv.Less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</row>
        <row r="358">
          <cell r="K358" t="str">
            <v>SO24-2729</v>
          </cell>
          <cell r="L358" t="str">
            <v>Wrapper Wai Wai Mimi Ch 35g(4010000423)</v>
          </cell>
          <cell r="M358">
            <v>0</v>
          </cell>
          <cell r="O358" t="str">
            <v>BAL</v>
          </cell>
          <cell r="P358">
            <v>20000</v>
          </cell>
          <cell r="Q358">
            <v>1</v>
          </cell>
          <cell r="R358">
            <v>20000</v>
          </cell>
          <cell r="S358" t="str">
            <v>KG</v>
          </cell>
          <cell r="T358">
            <v>9270.1949860724235</v>
          </cell>
          <cell r="U358">
            <v>526.71562420866042</v>
          </cell>
          <cell r="V358" t="e">
            <v>#N/A</v>
          </cell>
          <cell r="W358" t="str">
            <v>KG</v>
          </cell>
          <cell r="X358">
            <v>0</v>
          </cell>
          <cell r="Y358">
            <v>0</v>
          </cell>
          <cell r="Z358">
            <v>9270.1949860724235</v>
          </cell>
          <cell r="AA358" t="str">
            <v>KG</v>
          </cell>
          <cell r="AB358">
            <v>526.71562420866042</v>
          </cell>
          <cell r="AC358">
            <v>9270.1949860724235</v>
          </cell>
          <cell r="AD358">
            <v>526.71562420866042</v>
          </cell>
          <cell r="AE358" t="e">
            <v>#N/A</v>
          </cell>
          <cell r="AF358">
            <v>0</v>
          </cell>
          <cell r="AG358" t="e">
            <v>#N/A</v>
          </cell>
          <cell r="AH358" t="e">
            <v>#N/A</v>
          </cell>
          <cell r="AI358">
            <v>0</v>
          </cell>
          <cell r="AJ358">
            <v>0</v>
          </cell>
          <cell r="AK358" t="str">
            <v>solv.Less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</row>
        <row r="359">
          <cell r="K359" t="str">
            <v>SO24-2738</v>
          </cell>
          <cell r="L359" t="str">
            <v>TRISHUL CHAKKI ATTA 5KG</v>
          </cell>
          <cell r="M359">
            <v>0</v>
          </cell>
          <cell r="O359" t="str">
            <v>BAL</v>
          </cell>
          <cell r="P359">
            <v>1500</v>
          </cell>
          <cell r="Q359">
            <v>1</v>
          </cell>
          <cell r="R359">
            <v>1500</v>
          </cell>
          <cell r="S359" t="str">
            <v>KG</v>
          </cell>
          <cell r="T359">
            <v>268.21669311514546</v>
          </cell>
          <cell r="U359">
            <v>22.159343449698074</v>
          </cell>
          <cell r="V359">
            <v>0</v>
          </cell>
          <cell r="W359" t="str">
            <v>KG</v>
          </cell>
          <cell r="X359">
            <v>0</v>
          </cell>
          <cell r="Y359">
            <v>0</v>
          </cell>
          <cell r="Z359">
            <v>268.21669311514546</v>
          </cell>
          <cell r="AA359" t="str">
            <v>KG</v>
          </cell>
          <cell r="AB359">
            <v>22.159343449698074</v>
          </cell>
          <cell r="AC359">
            <v>268.21669311514546</v>
          </cell>
          <cell r="AD359">
            <v>22.159343449698074</v>
          </cell>
          <cell r="AE359">
            <v>0.66</v>
          </cell>
          <cell r="AF359">
            <v>0</v>
          </cell>
          <cell r="AG359">
            <v>0</v>
          </cell>
          <cell r="AH359">
            <v>22.159343449698074</v>
          </cell>
          <cell r="AI359">
            <v>0</v>
          </cell>
          <cell r="AJ359">
            <v>0</v>
          </cell>
          <cell r="AK359" t="str">
            <v>solv.Less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</row>
        <row r="360">
          <cell r="K360" t="str">
            <v>SO24-2739</v>
          </cell>
          <cell r="L360" t="str">
            <v>Plain pouch stand up without zipper(4x4) High GSM</v>
          </cell>
          <cell r="M360">
            <v>0</v>
          </cell>
          <cell r="O360" t="str">
            <v>BAL</v>
          </cell>
          <cell r="P360">
            <v>300</v>
          </cell>
          <cell r="Q360">
            <v>1</v>
          </cell>
          <cell r="R360">
            <v>300</v>
          </cell>
          <cell r="S360" t="str">
            <v>KG</v>
          </cell>
          <cell r="T360" t="e">
            <v>#DIV/0!</v>
          </cell>
          <cell r="U360" t="e">
            <v>#DIV/0!</v>
          </cell>
          <cell r="V360" t="e">
            <v>#DIV/0!</v>
          </cell>
          <cell r="W360" t="str">
            <v>KG</v>
          </cell>
          <cell r="X360">
            <v>0</v>
          </cell>
          <cell r="Y360" t="e">
            <v>#DIV/0!</v>
          </cell>
          <cell r="Z360" t="e">
            <v>#DIV/0!</v>
          </cell>
          <cell r="AA360" t="str">
            <v>KG</v>
          </cell>
          <cell r="AB360" t="e">
            <v>#DIV/0!</v>
          </cell>
          <cell r="AC360" t="e">
            <v>#DIV/0!</v>
          </cell>
          <cell r="AD360" t="e">
            <v>#DIV/0!</v>
          </cell>
          <cell r="AE360" t="e">
            <v>#N/A</v>
          </cell>
          <cell r="AF360">
            <v>0</v>
          </cell>
          <cell r="AG360" t="e">
            <v>#N/A</v>
          </cell>
          <cell r="AH360" t="e">
            <v>#N/A</v>
          </cell>
          <cell r="AI360">
            <v>0</v>
          </cell>
          <cell r="AJ360">
            <v>0</v>
          </cell>
          <cell r="AK360">
            <v>0</v>
          </cell>
          <cell r="AL360" t="e">
            <v>#DIV/0!</v>
          </cell>
          <cell r="AM360">
            <v>0</v>
          </cell>
          <cell r="AN360">
            <v>0</v>
          </cell>
          <cell r="AO360">
            <v>0</v>
          </cell>
        </row>
        <row r="361">
          <cell r="K361" t="str">
            <v>SO24-2752</v>
          </cell>
          <cell r="L361" t="str">
            <v>Wrapper Wai Wai Mimi Ch 35g(4010000423)</v>
          </cell>
          <cell r="M361">
            <v>0</v>
          </cell>
          <cell r="O361" t="str">
            <v>BAL</v>
          </cell>
          <cell r="P361">
            <v>20000</v>
          </cell>
          <cell r="Q361">
            <v>1</v>
          </cell>
          <cell r="R361">
            <v>20000</v>
          </cell>
          <cell r="S361" t="str">
            <v>KG</v>
          </cell>
          <cell r="T361">
            <v>9270.1949860724235</v>
          </cell>
          <cell r="U361">
            <v>526.71562420866042</v>
          </cell>
          <cell r="V361" t="e">
            <v>#N/A</v>
          </cell>
          <cell r="W361" t="str">
            <v>KG</v>
          </cell>
          <cell r="X361">
            <v>0</v>
          </cell>
          <cell r="Y361">
            <v>0</v>
          </cell>
          <cell r="Z361">
            <v>9270.1949860724235</v>
          </cell>
          <cell r="AA361" t="str">
            <v>KG</v>
          </cell>
          <cell r="AB361">
            <v>526.71562420866042</v>
          </cell>
          <cell r="AC361">
            <v>9270.1949860724235</v>
          </cell>
          <cell r="AD361">
            <v>526.71562420866042</v>
          </cell>
          <cell r="AE361" t="e">
            <v>#N/A</v>
          </cell>
          <cell r="AF361">
            <v>0</v>
          </cell>
          <cell r="AG361" t="e">
            <v>#N/A</v>
          </cell>
          <cell r="AH361" t="e">
            <v>#N/A</v>
          </cell>
          <cell r="AI361">
            <v>0</v>
          </cell>
          <cell r="AJ361">
            <v>0</v>
          </cell>
          <cell r="AK361" t="str">
            <v>solv.Less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K362" t="str">
            <v>SO24-2753</v>
          </cell>
          <cell r="L362" t="str">
            <v>Wrapper Wai Wai Rin Tin Noodle Ch (New)4010000355</v>
          </cell>
          <cell r="M362">
            <v>0</v>
          </cell>
          <cell r="O362" t="str">
            <v>BAL</v>
          </cell>
          <cell r="P362">
            <v>10000</v>
          </cell>
          <cell r="Q362">
            <v>1</v>
          </cell>
          <cell r="R362">
            <v>10000</v>
          </cell>
          <cell r="S362" t="str">
            <v>KG</v>
          </cell>
          <cell r="T362">
            <v>4635.0974930362117</v>
          </cell>
          <cell r="U362">
            <v>263.35781210433021</v>
          </cell>
          <cell r="V362" t="e">
            <v>#N/A</v>
          </cell>
          <cell r="W362" t="str">
            <v>KG</v>
          </cell>
          <cell r="X362">
            <v>0</v>
          </cell>
          <cell r="Y362">
            <v>0</v>
          </cell>
          <cell r="Z362">
            <v>4635.0974930362117</v>
          </cell>
          <cell r="AA362" t="str">
            <v>KG</v>
          </cell>
          <cell r="AB362">
            <v>263.35781210433021</v>
          </cell>
          <cell r="AC362">
            <v>4635.0974930362117</v>
          </cell>
          <cell r="AD362">
            <v>263.35781210433021</v>
          </cell>
          <cell r="AE362" t="e">
            <v>#N/A</v>
          </cell>
          <cell r="AF362">
            <v>0</v>
          </cell>
          <cell r="AG362" t="e">
            <v>#N/A</v>
          </cell>
          <cell r="AH362" t="e">
            <v>#N/A</v>
          </cell>
          <cell r="AI362">
            <v>0</v>
          </cell>
          <cell r="AJ362">
            <v>0</v>
          </cell>
          <cell r="AK362" t="str">
            <v>solv.Less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</row>
        <row r="363">
          <cell r="K363" t="str">
            <v>SO24-2754</v>
          </cell>
          <cell r="L363" t="str">
            <v>Wrapper Mama Ch Bh Hot &amp; Spicy 28gm(4010000309)</v>
          </cell>
          <cell r="M363">
            <v>0</v>
          </cell>
          <cell r="O363" t="str">
            <v>BAL</v>
          </cell>
          <cell r="P363">
            <v>15000</v>
          </cell>
          <cell r="Q363">
            <v>1</v>
          </cell>
          <cell r="R363">
            <v>15000</v>
          </cell>
          <cell r="S363" t="str">
            <v>KG</v>
          </cell>
          <cell r="T363">
            <v>3944.0734557595988</v>
          </cell>
          <cell r="U363">
            <v>219.11519198664439</v>
          </cell>
          <cell r="V363" t="e">
            <v>#N/A</v>
          </cell>
          <cell r="W363" t="str">
            <v>KG</v>
          </cell>
          <cell r="X363">
            <v>0</v>
          </cell>
          <cell r="Y363">
            <v>0</v>
          </cell>
          <cell r="Z363">
            <v>3944.0734557595988</v>
          </cell>
          <cell r="AA363" t="str">
            <v>KG</v>
          </cell>
          <cell r="AB363">
            <v>219.11519198664439</v>
          </cell>
          <cell r="AC363">
            <v>3944.0734557595988</v>
          </cell>
          <cell r="AD363">
            <v>219.11519198664439</v>
          </cell>
          <cell r="AE363" t="e">
            <v>#N/A</v>
          </cell>
          <cell r="AF363">
            <v>219.11519198664439</v>
          </cell>
          <cell r="AG363" t="e">
            <v>#N/A</v>
          </cell>
          <cell r="AH363" t="e">
            <v>#N/A</v>
          </cell>
          <cell r="AI363">
            <v>0</v>
          </cell>
          <cell r="AJ363">
            <v>0</v>
          </cell>
          <cell r="AK363" t="str">
            <v>Extrusion</v>
          </cell>
          <cell r="AL363">
            <v>10150.993322203671</v>
          </cell>
          <cell r="AM363">
            <v>0</v>
          </cell>
          <cell r="AN363">
            <v>0</v>
          </cell>
          <cell r="AO363">
            <v>0</v>
          </cell>
        </row>
        <row r="364">
          <cell r="K364" t="str">
            <v>SO24-2755</v>
          </cell>
          <cell r="L364" t="str">
            <v>Mama Punte Triangular (4010000383)</v>
          </cell>
          <cell r="M364">
            <v>0</v>
          </cell>
          <cell r="O364" t="str">
            <v>BAL</v>
          </cell>
          <cell r="P364">
            <v>3000</v>
          </cell>
          <cell r="Q364">
            <v>1</v>
          </cell>
          <cell r="R364">
            <v>3000</v>
          </cell>
          <cell r="S364" t="str">
            <v>KG</v>
          </cell>
          <cell r="T364">
            <v>1168.1249999999998</v>
          </cell>
          <cell r="U364">
            <v>59.389140271493211</v>
          </cell>
          <cell r="V364" t="e">
            <v>#N/A</v>
          </cell>
          <cell r="W364" t="str">
            <v>KG</v>
          </cell>
          <cell r="X364">
            <v>0</v>
          </cell>
          <cell r="Y364">
            <v>0</v>
          </cell>
          <cell r="Z364">
            <v>1168.1249999999998</v>
          </cell>
          <cell r="AA364" t="str">
            <v>KG</v>
          </cell>
          <cell r="AB364">
            <v>59.389140271493211</v>
          </cell>
          <cell r="AC364">
            <v>1168.1249999999998</v>
          </cell>
          <cell r="AD364">
            <v>59.389140271493211</v>
          </cell>
          <cell r="AE364" t="e">
            <v>#N/A</v>
          </cell>
          <cell r="AF364">
            <v>0</v>
          </cell>
          <cell r="AG364" t="e">
            <v>#N/A</v>
          </cell>
          <cell r="AH364" t="e">
            <v>#N/A</v>
          </cell>
          <cell r="AI364">
            <v>0</v>
          </cell>
          <cell r="AJ364">
            <v>0</v>
          </cell>
          <cell r="AK364" t="str">
            <v>solv.Less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K365" t="str">
            <v>SO24-2756</v>
          </cell>
          <cell r="L365" t="str">
            <v>Wrapper Wai Wai Mama Ch Bhujiya Flat-7g(4010000382)</v>
          </cell>
          <cell r="M365">
            <v>0</v>
          </cell>
          <cell r="O365" t="str">
            <v>BAL</v>
          </cell>
          <cell r="P365">
            <v>3000</v>
          </cell>
          <cell r="Q365">
            <v>1</v>
          </cell>
          <cell r="R365">
            <v>3000</v>
          </cell>
          <cell r="S365" t="str">
            <v>KG</v>
          </cell>
          <cell r="T365">
            <v>1168.1249999999998</v>
          </cell>
          <cell r="U365">
            <v>62.203791469194321</v>
          </cell>
          <cell r="V365" t="e">
            <v>#N/A</v>
          </cell>
          <cell r="W365" t="str">
            <v>KG</v>
          </cell>
          <cell r="X365">
            <v>0</v>
          </cell>
          <cell r="Y365">
            <v>0</v>
          </cell>
          <cell r="Z365">
            <v>1168.1249999999998</v>
          </cell>
          <cell r="AA365" t="str">
            <v>KG</v>
          </cell>
          <cell r="AB365">
            <v>62.203791469194321</v>
          </cell>
          <cell r="AC365">
            <v>1168.1249999999998</v>
          </cell>
          <cell r="AD365">
            <v>62.203791469194321</v>
          </cell>
          <cell r="AE365" t="e">
            <v>#N/A</v>
          </cell>
          <cell r="AF365">
            <v>0</v>
          </cell>
          <cell r="AG365" t="e">
            <v>#N/A</v>
          </cell>
          <cell r="AH365" t="e">
            <v>#N/A</v>
          </cell>
          <cell r="AI365">
            <v>0</v>
          </cell>
          <cell r="AJ365">
            <v>0</v>
          </cell>
          <cell r="AK365" t="str">
            <v>solv.Less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K366" t="str">
            <v>SO24-2757</v>
          </cell>
          <cell r="L366" t="str">
            <v>Wrapper Wai Wai Rintin Bhuj Punte Ch 7gm(4010000354)</v>
          </cell>
          <cell r="M366">
            <v>0</v>
          </cell>
          <cell r="O366" t="str">
            <v>BAL</v>
          </cell>
          <cell r="P366">
            <v>3000</v>
          </cell>
          <cell r="Q366">
            <v>1</v>
          </cell>
          <cell r="R366">
            <v>3000</v>
          </cell>
          <cell r="S366" t="str">
            <v>KG</v>
          </cell>
          <cell r="T366">
            <v>1168.1249999999998</v>
          </cell>
          <cell r="U366">
            <v>59.389140271493211</v>
          </cell>
          <cell r="V366" t="e">
            <v>#N/A</v>
          </cell>
          <cell r="W366" t="str">
            <v>KG</v>
          </cell>
          <cell r="X366">
            <v>0</v>
          </cell>
          <cell r="Y366">
            <v>0</v>
          </cell>
          <cell r="Z366">
            <v>1168.1249999999998</v>
          </cell>
          <cell r="AA366" t="str">
            <v>KG</v>
          </cell>
          <cell r="AB366">
            <v>59.389140271493211</v>
          </cell>
          <cell r="AC366">
            <v>1168.1249999999998</v>
          </cell>
          <cell r="AD366">
            <v>59.389140271493211</v>
          </cell>
          <cell r="AE366" t="e">
            <v>#N/A</v>
          </cell>
          <cell r="AF366">
            <v>0</v>
          </cell>
          <cell r="AG366" t="e">
            <v>#N/A</v>
          </cell>
          <cell r="AH366" t="e">
            <v>#N/A</v>
          </cell>
          <cell r="AI366">
            <v>0</v>
          </cell>
          <cell r="AJ366">
            <v>0</v>
          </cell>
          <cell r="AK366" t="str">
            <v>solv.Less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</row>
        <row r="367">
          <cell r="K367" t="str">
            <v>SO24-2758</v>
          </cell>
          <cell r="L367" t="str">
            <v>OSPM Wai Wai Ch(4010000259)</v>
          </cell>
          <cell r="M367">
            <v>0</v>
          </cell>
          <cell r="O367" t="str">
            <v>BAL</v>
          </cell>
          <cell r="P367">
            <v>15000</v>
          </cell>
          <cell r="Q367">
            <v>1</v>
          </cell>
          <cell r="R367">
            <v>15000</v>
          </cell>
          <cell r="S367" t="str">
            <v>KG</v>
          </cell>
          <cell r="T367">
            <v>5074.3838028169002</v>
          </cell>
          <cell r="U367">
            <v>252.08066581306014</v>
          </cell>
          <cell r="V367" t="e">
            <v>#N/A</v>
          </cell>
          <cell r="W367" t="str">
            <v>KG</v>
          </cell>
          <cell r="X367">
            <v>0</v>
          </cell>
          <cell r="Y367">
            <v>0</v>
          </cell>
          <cell r="Z367">
            <v>5074.3838028169002</v>
          </cell>
          <cell r="AA367" t="str">
            <v>KG</v>
          </cell>
          <cell r="AB367">
            <v>252.08066581306014</v>
          </cell>
          <cell r="AC367">
            <v>5074.3838028169002</v>
          </cell>
          <cell r="AD367">
            <v>252.08066581306014</v>
          </cell>
          <cell r="AE367" t="e">
            <v>#N/A</v>
          </cell>
          <cell r="AF367">
            <v>0</v>
          </cell>
          <cell r="AG367" t="e">
            <v>#N/A</v>
          </cell>
          <cell r="AH367" t="e">
            <v>#N/A</v>
          </cell>
          <cell r="AI367">
            <v>0</v>
          </cell>
          <cell r="AJ367">
            <v>0</v>
          </cell>
          <cell r="AK367" t="str">
            <v>solv.Less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</row>
        <row r="368">
          <cell r="K368" t="str">
            <v>SO24-2759</v>
          </cell>
          <cell r="L368" t="str">
            <v>OSPM Wai Wai Ch Mini 35g (4010000257)</v>
          </cell>
          <cell r="M368">
            <v>0</v>
          </cell>
          <cell r="O368" t="str">
            <v>BAL</v>
          </cell>
          <cell r="P368">
            <v>15000</v>
          </cell>
          <cell r="Q368">
            <v>1</v>
          </cell>
          <cell r="R368">
            <v>15000</v>
          </cell>
          <cell r="S368" t="str">
            <v>KG</v>
          </cell>
          <cell r="T368">
            <v>4883.0645161290322</v>
          </cell>
          <cell r="U368">
            <v>289.49545078577341</v>
          </cell>
          <cell r="V368" t="e">
            <v>#N/A</v>
          </cell>
          <cell r="W368" t="str">
            <v>KG</v>
          </cell>
          <cell r="X368">
            <v>0</v>
          </cell>
          <cell r="Y368">
            <v>0</v>
          </cell>
          <cell r="Z368">
            <v>4883.0645161290322</v>
          </cell>
          <cell r="AA368" t="str">
            <v>KG</v>
          </cell>
          <cell r="AB368">
            <v>289.49545078577341</v>
          </cell>
          <cell r="AC368">
            <v>4883.0645161290322</v>
          </cell>
          <cell r="AD368">
            <v>289.49545078577341</v>
          </cell>
          <cell r="AE368" t="e">
            <v>#N/A</v>
          </cell>
          <cell r="AF368">
            <v>0</v>
          </cell>
          <cell r="AG368" t="e">
            <v>#N/A</v>
          </cell>
          <cell r="AH368" t="e">
            <v>#N/A</v>
          </cell>
          <cell r="AI368">
            <v>0</v>
          </cell>
          <cell r="AJ368">
            <v>0</v>
          </cell>
          <cell r="AK368" t="str">
            <v>solv.Less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</row>
        <row r="369">
          <cell r="K369" t="str">
            <v>SO24-2760</v>
          </cell>
          <cell r="L369" t="str">
            <v>SPM Wai Wai Ch Rintin(4010000213)</v>
          </cell>
          <cell r="M369">
            <v>0</v>
          </cell>
          <cell r="O369" t="str">
            <v>BAL</v>
          </cell>
          <cell r="P369">
            <v>2000</v>
          </cell>
          <cell r="Q369">
            <v>1</v>
          </cell>
          <cell r="R369">
            <v>2000</v>
          </cell>
          <cell r="S369" t="str">
            <v>KG</v>
          </cell>
          <cell r="T369">
            <v>879.52941176470574</v>
          </cell>
          <cell r="U369">
            <v>57.123427405644335</v>
          </cell>
          <cell r="V369" t="e">
            <v>#N/A</v>
          </cell>
          <cell r="W369" t="str">
            <v>KG</v>
          </cell>
          <cell r="X369">
            <v>0</v>
          </cell>
          <cell r="Y369">
            <v>0</v>
          </cell>
          <cell r="Z369">
            <v>879.52941176470574</v>
          </cell>
          <cell r="AA369" t="str">
            <v>KG</v>
          </cell>
          <cell r="AB369">
            <v>57.123427405644335</v>
          </cell>
          <cell r="AC369">
            <v>879.52941176470574</v>
          </cell>
          <cell r="AD369">
            <v>57.123427405644335</v>
          </cell>
          <cell r="AE369" t="e">
            <v>#N/A</v>
          </cell>
          <cell r="AF369">
            <v>0</v>
          </cell>
          <cell r="AG369" t="e">
            <v>#N/A</v>
          </cell>
          <cell r="AH369" t="e">
            <v>#N/A</v>
          </cell>
          <cell r="AI369">
            <v>0</v>
          </cell>
          <cell r="AJ369">
            <v>0</v>
          </cell>
          <cell r="AK369" t="str">
            <v>solv.Less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</row>
        <row r="370">
          <cell r="K370" t="str">
            <v>SO24-2761</v>
          </cell>
          <cell r="L370" t="str">
            <v>CPM Red(4010000138)</v>
          </cell>
          <cell r="M370">
            <v>0</v>
          </cell>
          <cell r="O370" t="str">
            <v>BAL</v>
          </cell>
          <cell r="P370">
            <v>1500</v>
          </cell>
          <cell r="Q370">
            <v>1</v>
          </cell>
          <cell r="R370">
            <v>1500</v>
          </cell>
          <cell r="S370" t="str">
            <v>KG</v>
          </cell>
          <cell r="T370">
            <v>648.74999999999989</v>
          </cell>
          <cell r="U370">
            <v>43.859649122807021</v>
          </cell>
          <cell r="V370" t="e">
            <v>#N/A</v>
          </cell>
          <cell r="W370" t="str">
            <v>KG</v>
          </cell>
          <cell r="X370">
            <v>0</v>
          </cell>
          <cell r="Y370">
            <v>0</v>
          </cell>
          <cell r="Z370">
            <v>648.74999999999989</v>
          </cell>
          <cell r="AA370" t="str">
            <v>KG</v>
          </cell>
          <cell r="AB370">
            <v>43.859649122807021</v>
          </cell>
          <cell r="AC370">
            <v>648.74999999999989</v>
          </cell>
          <cell r="AD370">
            <v>43.859649122807021</v>
          </cell>
          <cell r="AE370" t="e">
            <v>#N/A</v>
          </cell>
          <cell r="AF370">
            <v>0</v>
          </cell>
          <cell r="AG370" t="e">
            <v>#N/A</v>
          </cell>
          <cell r="AH370" t="e">
            <v>#N/A</v>
          </cell>
          <cell r="AI370">
            <v>0</v>
          </cell>
          <cell r="AJ370">
            <v>0</v>
          </cell>
          <cell r="AK370" t="str">
            <v>solv.Less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</row>
        <row r="371">
          <cell r="K371" t="str">
            <v>SO24-2762</v>
          </cell>
          <cell r="L371" t="str">
            <v>QUICK DISH WASH BAR RS 5/-[SMALL]</v>
          </cell>
          <cell r="M371">
            <v>0</v>
          </cell>
          <cell r="O371" t="str">
            <v>BAL</v>
          </cell>
          <cell r="P371">
            <v>1000</v>
          </cell>
          <cell r="Q371">
            <v>1</v>
          </cell>
          <cell r="R371">
            <v>1000</v>
          </cell>
          <cell r="S371" t="str">
            <v>KG</v>
          </cell>
          <cell r="T371">
            <v>376.30125523012549</v>
          </cell>
          <cell r="U371">
            <v>29.089460051803147</v>
          </cell>
          <cell r="V371">
            <v>0</v>
          </cell>
          <cell r="W371" t="str">
            <v>KG</v>
          </cell>
          <cell r="X371">
            <v>0</v>
          </cell>
          <cell r="Y371">
            <v>0</v>
          </cell>
          <cell r="Z371">
            <v>376.30125523012549</v>
          </cell>
          <cell r="AA371" t="str">
            <v>KG</v>
          </cell>
          <cell r="AB371">
            <v>29.089460051803147</v>
          </cell>
          <cell r="AC371">
            <v>376.30125523012549</v>
          </cell>
          <cell r="AD371">
            <v>29.089460051803147</v>
          </cell>
          <cell r="AE371">
            <v>0.72499999999999998</v>
          </cell>
          <cell r="AF371">
            <v>0</v>
          </cell>
          <cell r="AG371">
            <v>0</v>
          </cell>
          <cell r="AH371">
            <v>29.089460051803147</v>
          </cell>
          <cell r="AI371">
            <v>0</v>
          </cell>
          <cell r="AJ371">
            <v>0</v>
          </cell>
          <cell r="AK371" t="str">
            <v>solv.Less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</row>
        <row r="372">
          <cell r="K372" t="str">
            <v>SO24-2767</v>
          </cell>
          <cell r="L372" t="str">
            <v>LIKLA DRY CAKE BIG[CENTRE SEAL POUCH-12/12/25]</v>
          </cell>
          <cell r="M372">
            <v>0</v>
          </cell>
          <cell r="O372" t="str">
            <v>BAL</v>
          </cell>
          <cell r="P372">
            <v>1000</v>
          </cell>
          <cell r="Q372">
            <v>1</v>
          </cell>
          <cell r="R372">
            <v>1000</v>
          </cell>
          <cell r="S372" t="str">
            <v>KG</v>
          </cell>
          <cell r="T372">
            <v>317.87439613526567</v>
          </cell>
          <cell r="U372">
            <v>20.249356359744283</v>
          </cell>
          <cell r="V372" t="e">
            <v>#N/A</v>
          </cell>
          <cell r="W372" t="str">
            <v>KG</v>
          </cell>
          <cell r="X372">
            <v>0</v>
          </cell>
          <cell r="Y372">
            <v>0</v>
          </cell>
          <cell r="Z372">
            <v>317.87439613526567</v>
          </cell>
          <cell r="AA372" t="str">
            <v>KG</v>
          </cell>
          <cell r="AB372">
            <v>20.249356359744283</v>
          </cell>
          <cell r="AC372">
            <v>317.87439613526567</v>
          </cell>
          <cell r="AD372">
            <v>20.249356359744283</v>
          </cell>
          <cell r="AE372" t="e">
            <v>#N/A</v>
          </cell>
          <cell r="AF372">
            <v>0</v>
          </cell>
          <cell r="AG372" t="e">
            <v>#N/A</v>
          </cell>
          <cell r="AH372" t="e">
            <v>#N/A</v>
          </cell>
          <cell r="AI372">
            <v>0</v>
          </cell>
          <cell r="AJ372">
            <v>0</v>
          </cell>
          <cell r="AK372" t="str">
            <v>solv.Less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</row>
        <row r="373">
          <cell r="K373" t="str">
            <v>SO24-2765</v>
          </cell>
          <cell r="L373" t="str">
            <v>MACHAL CHILLI ( MOROK APOUBA)-(3PLY)</v>
          </cell>
          <cell r="M373">
            <v>0</v>
          </cell>
          <cell r="O373" t="str">
            <v>BAL</v>
          </cell>
          <cell r="P373">
            <v>1000</v>
          </cell>
          <cell r="Q373">
            <v>1</v>
          </cell>
          <cell r="R373">
            <v>1000</v>
          </cell>
          <cell r="S373" t="str">
            <v>KG</v>
          </cell>
          <cell r="T373">
            <v>255.79920739762213</v>
          </cell>
          <cell r="U373">
            <v>20.773039418354895</v>
          </cell>
          <cell r="V373">
            <v>0</v>
          </cell>
          <cell r="W373" t="str">
            <v>KG</v>
          </cell>
          <cell r="X373">
            <v>0</v>
          </cell>
          <cell r="Y373">
            <v>0</v>
          </cell>
          <cell r="Z373">
            <v>255.79920739762213</v>
          </cell>
          <cell r="AA373" t="str">
            <v>KG</v>
          </cell>
          <cell r="AB373">
            <v>20.773039418354895</v>
          </cell>
          <cell r="AC373">
            <v>255.79920739762213</v>
          </cell>
          <cell r="AD373">
            <v>20.773039418354895</v>
          </cell>
          <cell r="AE373">
            <v>0.64</v>
          </cell>
          <cell r="AF373">
            <v>0</v>
          </cell>
          <cell r="AG373">
            <v>0</v>
          </cell>
          <cell r="AH373">
            <v>41.546078836709789</v>
          </cell>
          <cell r="AI373">
            <v>0</v>
          </cell>
          <cell r="AJ373">
            <v>0</v>
          </cell>
          <cell r="AK373" t="str">
            <v>solv.Less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</row>
        <row r="374">
          <cell r="K374" t="str">
            <v>SO24-2766</v>
          </cell>
          <cell r="L374" t="str">
            <v>MACHAL- APOUBA(GREEN)(2PLY)</v>
          </cell>
          <cell r="M374">
            <v>0</v>
          </cell>
          <cell r="O374" t="str">
            <v>BAL</v>
          </cell>
          <cell r="P374">
            <v>1500</v>
          </cell>
          <cell r="Q374">
            <v>1</v>
          </cell>
          <cell r="R374">
            <v>1500</v>
          </cell>
          <cell r="S374" t="str">
            <v>KG</v>
          </cell>
          <cell r="T374">
            <v>405.35021097046405</v>
          </cell>
          <cell r="U374">
            <v>32.917834251296419</v>
          </cell>
          <cell r="V374">
            <v>0</v>
          </cell>
          <cell r="W374" t="str">
            <v>KG</v>
          </cell>
          <cell r="X374">
            <v>0</v>
          </cell>
          <cell r="Y374">
            <v>0</v>
          </cell>
          <cell r="Z374">
            <v>405.35021097046405</v>
          </cell>
          <cell r="AA374" t="str">
            <v>KG</v>
          </cell>
          <cell r="AB374">
            <v>32.917834251296419</v>
          </cell>
          <cell r="AC374">
            <v>405.35021097046405</v>
          </cell>
          <cell r="AD374">
            <v>32.917834251296419</v>
          </cell>
          <cell r="AE374">
            <v>0.64</v>
          </cell>
          <cell r="AF374">
            <v>0</v>
          </cell>
          <cell r="AG374">
            <v>0</v>
          </cell>
          <cell r="AH374">
            <v>32.917834251296419</v>
          </cell>
          <cell r="AI374">
            <v>0</v>
          </cell>
          <cell r="AJ374">
            <v>0</v>
          </cell>
          <cell r="AK374" t="str">
            <v>solv.Less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</row>
        <row r="375">
          <cell r="K375" t="str">
            <v>SO24-2770</v>
          </cell>
          <cell r="L375" t="str">
            <v>AMRIT FOODS SUPERFINE ATTA 1KG</v>
          </cell>
          <cell r="M375">
            <v>0</v>
          </cell>
          <cell r="O375" t="str">
            <v>BAL</v>
          </cell>
          <cell r="P375">
            <v>3300</v>
          </cell>
          <cell r="Q375">
            <v>1</v>
          </cell>
          <cell r="R375">
            <v>3300</v>
          </cell>
          <cell r="S375" t="str">
            <v>KG</v>
          </cell>
          <cell r="T375">
            <v>852.61130495464056</v>
          </cell>
          <cell r="U375">
            <v>56.022820484568022</v>
          </cell>
          <cell r="V375" t="e">
            <v>#N/A</v>
          </cell>
          <cell r="W375" t="str">
            <v>KG</v>
          </cell>
          <cell r="X375">
            <v>0</v>
          </cell>
          <cell r="Y375">
            <v>0</v>
          </cell>
          <cell r="Z375">
            <v>852.61130495464056</v>
          </cell>
          <cell r="AA375" t="str">
            <v>KG</v>
          </cell>
          <cell r="AB375">
            <v>56.022820484568022</v>
          </cell>
          <cell r="AC375">
            <v>852.61130495464056</v>
          </cell>
          <cell r="AD375">
            <v>56.022820484568022</v>
          </cell>
          <cell r="AE375" t="e">
            <v>#N/A</v>
          </cell>
          <cell r="AF375">
            <v>0</v>
          </cell>
          <cell r="AG375" t="e">
            <v>#N/A</v>
          </cell>
          <cell r="AH375" t="e">
            <v>#N/A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</row>
        <row r="376">
          <cell r="K376" t="str">
            <v>SO24-2771</v>
          </cell>
          <cell r="L376" t="str">
            <v>AMRIT FOODS SUPERFINE ATTA 5KG</v>
          </cell>
          <cell r="M376">
            <v>0</v>
          </cell>
          <cell r="O376" t="str">
            <v>BAL</v>
          </cell>
          <cell r="P376">
            <v>2700</v>
          </cell>
          <cell r="Q376">
            <v>1</v>
          </cell>
          <cell r="R376">
            <v>2700</v>
          </cell>
          <cell r="S376" t="str">
            <v>KG</v>
          </cell>
          <cell r="T376">
            <v>498.08071748878922</v>
          </cell>
          <cell r="U376">
            <v>38.070833714651791</v>
          </cell>
          <cell r="V376" t="e">
            <v>#N/A</v>
          </cell>
          <cell r="W376" t="str">
            <v>KG</v>
          </cell>
          <cell r="X376">
            <v>0</v>
          </cell>
          <cell r="Y376">
            <v>0</v>
          </cell>
          <cell r="Z376">
            <v>498.08071748878922</v>
          </cell>
          <cell r="AA376" t="str">
            <v>KG</v>
          </cell>
          <cell r="AB376">
            <v>38.070833714651791</v>
          </cell>
          <cell r="AC376">
            <v>498.08071748878922</v>
          </cell>
          <cell r="AD376">
            <v>38.070833714651791</v>
          </cell>
          <cell r="AE376" t="e">
            <v>#N/A</v>
          </cell>
          <cell r="AF376">
            <v>0</v>
          </cell>
          <cell r="AG376" t="e">
            <v>#N/A</v>
          </cell>
          <cell r="AH376" t="e">
            <v>#N/A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</row>
        <row r="377">
          <cell r="K377" t="str">
            <v>SO24-2772</v>
          </cell>
          <cell r="L377" t="str">
            <v>ITC A.Atta 1kg Mic QC Promo Bengali  (FPAT01859)</v>
          </cell>
          <cell r="M377" t="str">
            <v>C24-2713</v>
          </cell>
          <cell r="O377" t="str">
            <v>BAL</v>
          </cell>
          <cell r="P377">
            <v>5000</v>
          </cell>
          <cell r="Q377">
            <v>1</v>
          </cell>
          <cell r="R377">
            <v>5000</v>
          </cell>
          <cell r="S377" t="str">
            <v>KG</v>
          </cell>
          <cell r="T377">
            <v>1634.4733242134064</v>
          </cell>
          <cell r="U377">
            <v>77.312961743219645</v>
          </cell>
          <cell r="V377" t="e">
            <v>#N/A</v>
          </cell>
          <cell r="W377" t="str">
            <v>KG</v>
          </cell>
          <cell r="X377">
            <v>0</v>
          </cell>
          <cell r="Y377">
            <v>0</v>
          </cell>
          <cell r="Z377">
            <v>1634.4733242134064</v>
          </cell>
          <cell r="AA377" t="str">
            <v>KG</v>
          </cell>
          <cell r="AB377">
            <v>77.312961743219645</v>
          </cell>
          <cell r="AC377">
            <v>1634.4733242134064</v>
          </cell>
          <cell r="AD377">
            <v>77.312961743219645</v>
          </cell>
          <cell r="AE377" t="e">
            <v>#N/A</v>
          </cell>
          <cell r="AF377">
            <v>0</v>
          </cell>
          <cell r="AG377" t="e">
            <v>#N/A</v>
          </cell>
          <cell r="AH377" t="e">
            <v>#N/A</v>
          </cell>
          <cell r="AI377">
            <v>0</v>
          </cell>
          <cell r="AJ377">
            <v>0</v>
          </cell>
          <cell r="AK377" t="str">
            <v>solv.Less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</row>
        <row r="378">
          <cell r="K378" t="str">
            <v>SO24-2773</v>
          </cell>
          <cell r="L378" t="str">
            <v>Bikaji Punjabi Tadka Rs.5/-(220mm)</v>
          </cell>
          <cell r="M378">
            <v>0</v>
          </cell>
          <cell r="O378" t="str">
            <v>BAL</v>
          </cell>
          <cell r="P378">
            <v>1000</v>
          </cell>
          <cell r="Q378">
            <v>1</v>
          </cell>
          <cell r="R378">
            <v>1000</v>
          </cell>
          <cell r="S378" t="str">
            <v>KG</v>
          </cell>
          <cell r="T378" t="e">
            <v>#N/A</v>
          </cell>
          <cell r="U378" t="e">
            <v>#N/A</v>
          </cell>
          <cell r="V378" t="e">
            <v>#N/A</v>
          </cell>
          <cell r="W378" t="str">
            <v>KG</v>
          </cell>
          <cell r="X378">
            <v>0</v>
          </cell>
          <cell r="Y378" t="e">
            <v>#N/A</v>
          </cell>
          <cell r="Z378" t="e">
            <v>#N/A</v>
          </cell>
          <cell r="AA378" t="str">
            <v>KG</v>
          </cell>
          <cell r="AB378" t="e">
            <v>#N/A</v>
          </cell>
          <cell r="AC378" t="e">
            <v>#N/A</v>
          </cell>
          <cell r="AD378" t="e">
            <v>#N/A</v>
          </cell>
          <cell r="AE378" t="e">
            <v>#N/A</v>
          </cell>
          <cell r="AF378" t="e">
            <v>#N/A</v>
          </cell>
          <cell r="AG378" t="e">
            <v>#N/A</v>
          </cell>
          <cell r="AH378" t="e">
            <v>#N/A</v>
          </cell>
          <cell r="AI378">
            <v>0</v>
          </cell>
          <cell r="AJ378">
            <v>0</v>
          </cell>
          <cell r="AK378" t="e">
            <v>#N/A</v>
          </cell>
          <cell r="AL378" t="e">
            <v>#N/A</v>
          </cell>
          <cell r="AM378">
            <v>0</v>
          </cell>
          <cell r="AN378">
            <v>0</v>
          </cell>
          <cell r="AO378">
            <v>0</v>
          </cell>
        </row>
        <row r="379">
          <cell r="K379" t="str">
            <v>SO24-2774</v>
          </cell>
          <cell r="L379" t="str">
            <v>Bikaji Nut Cracker Rs.5/- (205mm)</v>
          </cell>
          <cell r="M379">
            <v>0</v>
          </cell>
          <cell r="O379" t="str">
            <v>BAL</v>
          </cell>
          <cell r="P379">
            <v>1000</v>
          </cell>
          <cell r="Q379">
            <v>1</v>
          </cell>
          <cell r="R379">
            <v>1000</v>
          </cell>
          <cell r="S379" t="str">
            <v>KG</v>
          </cell>
          <cell r="T379" t="e">
            <v>#N/A</v>
          </cell>
          <cell r="U379" t="e">
            <v>#N/A</v>
          </cell>
          <cell r="V379" t="e">
            <v>#N/A</v>
          </cell>
          <cell r="W379" t="str">
            <v>KG</v>
          </cell>
          <cell r="X379">
            <v>0</v>
          </cell>
          <cell r="Y379" t="e">
            <v>#N/A</v>
          </cell>
          <cell r="Z379" t="e">
            <v>#N/A</v>
          </cell>
          <cell r="AA379" t="str">
            <v>KG</v>
          </cell>
          <cell r="AB379" t="e">
            <v>#N/A</v>
          </cell>
          <cell r="AC379" t="e">
            <v>#N/A</v>
          </cell>
          <cell r="AD379" t="e">
            <v>#N/A</v>
          </cell>
          <cell r="AE379" t="e">
            <v>#N/A</v>
          </cell>
          <cell r="AF379" t="e">
            <v>#N/A</v>
          </cell>
          <cell r="AG379" t="e">
            <v>#N/A</v>
          </cell>
          <cell r="AH379" t="e">
            <v>#N/A</v>
          </cell>
          <cell r="AI379">
            <v>0</v>
          </cell>
          <cell r="AJ379">
            <v>0</v>
          </cell>
          <cell r="AK379" t="e">
            <v>#N/A</v>
          </cell>
          <cell r="AL379" t="e">
            <v>#N/A</v>
          </cell>
          <cell r="AM379">
            <v>0</v>
          </cell>
          <cell r="AN379">
            <v>0</v>
          </cell>
          <cell r="AO379">
            <v>0</v>
          </cell>
        </row>
        <row r="380">
          <cell r="K380" t="str">
            <v>SO24-2727</v>
          </cell>
          <cell r="L380" t="str">
            <v>Sagar Namkeen (12/50) R1</v>
          </cell>
          <cell r="M380">
            <v>0</v>
          </cell>
          <cell r="O380" t="str">
            <v>BAL</v>
          </cell>
          <cell r="P380">
            <v>1000</v>
          </cell>
          <cell r="Q380">
            <v>1</v>
          </cell>
          <cell r="R380">
            <v>1000</v>
          </cell>
          <cell r="S380" t="str">
            <v>KG</v>
          </cell>
          <cell r="T380">
            <v>296.84210526315786</v>
          </cell>
          <cell r="U380">
            <v>22.083179977916824</v>
          </cell>
          <cell r="V380" t="e">
            <v>#N/A</v>
          </cell>
          <cell r="W380" t="str">
            <v>KG</v>
          </cell>
          <cell r="X380">
            <v>0</v>
          </cell>
          <cell r="Y380">
            <v>0</v>
          </cell>
          <cell r="Z380">
            <v>296.84210526315786</v>
          </cell>
          <cell r="AA380" t="str">
            <v>KG</v>
          </cell>
          <cell r="AB380">
            <v>22.083179977916824</v>
          </cell>
          <cell r="AC380">
            <v>296.84210526315786</v>
          </cell>
          <cell r="AD380">
            <v>22.083179977916824</v>
          </cell>
          <cell r="AE380" t="e">
            <v>#N/A</v>
          </cell>
          <cell r="AF380">
            <v>0</v>
          </cell>
          <cell r="AG380" t="e">
            <v>#N/A</v>
          </cell>
          <cell r="AH380" t="e">
            <v>#N/A</v>
          </cell>
          <cell r="AI380">
            <v>0</v>
          </cell>
          <cell r="AJ380">
            <v>0</v>
          </cell>
          <cell r="AK380" t="str">
            <v>solv.Less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</row>
        <row r="381">
          <cell r="K381" t="str">
            <v>SO24-2715</v>
          </cell>
          <cell r="L381" t="str">
            <v>MANGALAM ASSAM TEA 250 GM[pouch]</v>
          </cell>
          <cell r="M381">
            <v>0</v>
          </cell>
          <cell r="O381" t="str">
            <v>BAL</v>
          </cell>
          <cell r="P381">
            <v>500</v>
          </cell>
          <cell r="Q381">
            <v>1</v>
          </cell>
          <cell r="R381">
            <v>500</v>
          </cell>
          <cell r="S381" t="str">
            <v>KG</v>
          </cell>
          <cell r="T381">
            <v>102.01277955271564</v>
          </cell>
          <cell r="U381">
            <v>8.3733710541505104</v>
          </cell>
          <cell r="V381">
            <v>0</v>
          </cell>
          <cell r="W381" t="str">
            <v>KG</v>
          </cell>
          <cell r="X381">
            <v>0</v>
          </cell>
          <cell r="Y381">
            <v>0</v>
          </cell>
          <cell r="Z381">
            <v>102.01277955271564</v>
          </cell>
          <cell r="AA381" t="str">
            <v>KG</v>
          </cell>
          <cell r="AB381">
            <v>8.3733710541505104</v>
          </cell>
          <cell r="AC381">
            <v>102.01277955271564</v>
          </cell>
          <cell r="AD381">
            <v>8.3733710541505104</v>
          </cell>
          <cell r="AE381">
            <v>0.64</v>
          </cell>
          <cell r="AF381">
            <v>0</v>
          </cell>
          <cell r="AG381">
            <v>0</v>
          </cell>
          <cell r="AH381">
            <v>16.746742108301021</v>
          </cell>
          <cell r="AI381">
            <v>0</v>
          </cell>
          <cell r="AJ381">
            <v>0</v>
          </cell>
          <cell r="AK381" t="str">
            <v>solv.Less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</row>
        <row r="382">
          <cell r="K382" t="str">
            <v>SO24-2717</v>
          </cell>
          <cell r="L382" t="str">
            <v>MANGALAM TEA 1KG(Pouch-Single Colour)</v>
          </cell>
          <cell r="M382">
            <v>0</v>
          </cell>
          <cell r="O382" t="str">
            <v>BAL</v>
          </cell>
          <cell r="P382">
            <v>184.8</v>
          </cell>
          <cell r="Q382">
            <v>12.32</v>
          </cell>
          <cell r="R382">
            <v>15000</v>
          </cell>
          <cell r="S382" t="str">
            <v>no</v>
          </cell>
          <cell r="T382">
            <v>43.984897297297294</v>
          </cell>
          <cell r="U382">
            <v>5.1444324324324331</v>
          </cell>
          <cell r="V382">
            <v>0</v>
          </cell>
          <cell r="W382" t="str">
            <v>no</v>
          </cell>
          <cell r="X382">
            <v>0</v>
          </cell>
          <cell r="Y382">
            <v>0</v>
          </cell>
          <cell r="Z382">
            <v>43.984897297297294</v>
          </cell>
          <cell r="AA382" t="str">
            <v>no</v>
          </cell>
          <cell r="AB382">
            <v>5.1444324324324331</v>
          </cell>
          <cell r="AC382">
            <v>43.984897297297294</v>
          </cell>
          <cell r="AD382">
            <v>5.1444324324324331</v>
          </cell>
          <cell r="AE382">
            <v>0.49</v>
          </cell>
          <cell r="AF382">
            <v>0</v>
          </cell>
          <cell r="AG382">
            <v>0</v>
          </cell>
          <cell r="AH382">
            <v>10.288864864864866</v>
          </cell>
          <cell r="AI382">
            <v>0</v>
          </cell>
          <cell r="AJ382">
            <v>0</v>
          </cell>
          <cell r="AK382" t="str">
            <v>solv.Less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</row>
        <row r="383">
          <cell r="K383" t="str">
            <v>SO24-2763</v>
          </cell>
          <cell r="L383" t="str">
            <v>Abhinav Spicy Noodles Bhujia Rs 2/-</v>
          </cell>
          <cell r="M383">
            <v>0</v>
          </cell>
          <cell r="O383" t="str">
            <v>BAL</v>
          </cell>
          <cell r="P383">
            <v>3000</v>
          </cell>
          <cell r="Q383">
            <v>1</v>
          </cell>
          <cell r="R383">
            <v>3000</v>
          </cell>
          <cell r="S383" t="str">
            <v>KG</v>
          </cell>
          <cell r="T383">
            <v>976.74418604651146</v>
          </cell>
          <cell r="U383">
            <v>74.903695248965604</v>
          </cell>
          <cell r="V383" t="e">
            <v>#N/A</v>
          </cell>
          <cell r="W383" t="str">
            <v>KG</v>
          </cell>
          <cell r="X383">
            <v>0</v>
          </cell>
          <cell r="Y383">
            <v>0</v>
          </cell>
          <cell r="Z383">
            <v>976.74418604651146</v>
          </cell>
          <cell r="AA383" t="str">
            <v>KG</v>
          </cell>
          <cell r="AB383">
            <v>74.903695248965604</v>
          </cell>
          <cell r="AC383">
            <v>976.74418604651146</v>
          </cell>
          <cell r="AD383">
            <v>74.903695248965604</v>
          </cell>
          <cell r="AE383" t="e">
            <v>#N/A</v>
          </cell>
          <cell r="AF383">
            <v>0</v>
          </cell>
          <cell r="AG383" t="e">
            <v>#N/A</v>
          </cell>
          <cell r="AH383" t="e">
            <v>#N/A</v>
          </cell>
          <cell r="AI383">
            <v>0</v>
          </cell>
          <cell r="AJ383">
            <v>0</v>
          </cell>
          <cell r="AK383" t="str">
            <v>solv.Less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</row>
        <row r="384">
          <cell r="K384" t="str">
            <v>SO24-2768</v>
          </cell>
          <cell r="L384" t="str">
            <v>Glayciar BOPP label 1Ltr</v>
          </cell>
          <cell r="M384">
            <v>0</v>
          </cell>
          <cell r="O384" t="str">
            <v>BAL</v>
          </cell>
          <cell r="P384">
            <v>150</v>
          </cell>
          <cell r="Q384">
            <v>1</v>
          </cell>
          <cell r="R384">
            <v>150</v>
          </cell>
          <cell r="S384" t="str">
            <v>KG</v>
          </cell>
          <cell r="T384">
            <v>154.50000000000003</v>
          </cell>
          <cell r="U384">
            <v>8.3862563100472265</v>
          </cell>
          <cell r="V384" t="e">
            <v>#N/A</v>
          </cell>
          <cell r="W384" t="str">
            <v>KG</v>
          </cell>
          <cell r="X384">
            <v>0</v>
          </cell>
          <cell r="Y384">
            <v>0</v>
          </cell>
          <cell r="Z384">
            <v>154.50000000000003</v>
          </cell>
          <cell r="AA384" t="str">
            <v>KG</v>
          </cell>
          <cell r="AB384">
            <v>8.3862563100472265</v>
          </cell>
          <cell r="AC384">
            <v>154.50000000000003</v>
          </cell>
          <cell r="AD384">
            <v>8.3862563100472265</v>
          </cell>
          <cell r="AE384" t="e">
            <v>#N/A</v>
          </cell>
          <cell r="AF384">
            <v>0</v>
          </cell>
          <cell r="AG384" t="e">
            <v>#N/A</v>
          </cell>
          <cell r="AH384" t="e">
            <v>#N/A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</row>
        <row r="385">
          <cell r="K385" t="str">
            <v>SO24-2769</v>
          </cell>
          <cell r="L385" t="str">
            <v>Glayciar BOPP label 2Ltr</v>
          </cell>
          <cell r="M385">
            <v>0</v>
          </cell>
          <cell r="O385" t="str">
            <v>BAL</v>
          </cell>
          <cell r="P385">
            <v>100</v>
          </cell>
          <cell r="Q385">
            <v>1</v>
          </cell>
          <cell r="R385">
            <v>100</v>
          </cell>
          <cell r="S385" t="str">
            <v>KG</v>
          </cell>
          <cell r="T385">
            <v>103</v>
          </cell>
          <cell r="U385">
            <v>5.7150783742544036</v>
          </cell>
          <cell r="V385" t="e">
            <v>#N/A</v>
          </cell>
          <cell r="W385" t="str">
            <v>KG</v>
          </cell>
          <cell r="X385">
            <v>0</v>
          </cell>
          <cell r="Y385">
            <v>0</v>
          </cell>
          <cell r="Z385">
            <v>103</v>
          </cell>
          <cell r="AA385" t="str">
            <v>KG</v>
          </cell>
          <cell r="AB385">
            <v>5.7150783742544036</v>
          </cell>
          <cell r="AC385">
            <v>103</v>
          </cell>
          <cell r="AD385">
            <v>5.7150783742544036</v>
          </cell>
          <cell r="AE385" t="e">
            <v>#N/A</v>
          </cell>
          <cell r="AF385">
            <v>0</v>
          </cell>
          <cell r="AG385" t="e">
            <v>#N/A</v>
          </cell>
          <cell r="AH385" t="e">
            <v>#N/A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</row>
        <row r="386">
          <cell r="K386" t="str">
            <v>SO24-2775</v>
          </cell>
          <cell r="L386" t="str">
            <v>ITC BINGO Lam- MA Red Alert Rs 10 274X191(FPSX02624)</v>
          </cell>
          <cell r="M386">
            <v>0</v>
          </cell>
          <cell r="O386" t="str">
            <v>BAL</v>
          </cell>
          <cell r="P386">
            <v>1000</v>
          </cell>
          <cell r="Q386">
            <v>1</v>
          </cell>
          <cell r="R386">
            <v>1000</v>
          </cell>
          <cell r="S386" t="str">
            <v>KG</v>
          </cell>
          <cell r="T386">
            <v>244.39867109634545</v>
          </cell>
          <cell r="U386">
            <v>12.521225544481357</v>
          </cell>
          <cell r="V386" t="e">
            <v>#N/A</v>
          </cell>
          <cell r="W386" t="str">
            <v>KG</v>
          </cell>
          <cell r="X386">
            <v>0</v>
          </cell>
          <cell r="Y386">
            <v>0</v>
          </cell>
          <cell r="Z386">
            <v>244.39867109634545</v>
          </cell>
          <cell r="AA386" t="str">
            <v>KG</v>
          </cell>
          <cell r="AB386">
            <v>12.521225544481357</v>
          </cell>
          <cell r="AC386">
            <v>244.39867109634545</v>
          </cell>
          <cell r="AD386">
            <v>12.521225544481357</v>
          </cell>
          <cell r="AE386" t="e">
            <v>#N/A</v>
          </cell>
          <cell r="AF386">
            <v>12.521225544481357</v>
          </cell>
          <cell r="AG386" t="e">
            <v>#N/A</v>
          </cell>
          <cell r="AH386" t="e">
            <v>#N/A</v>
          </cell>
          <cell r="AI386">
            <v>0</v>
          </cell>
          <cell r="AJ386">
            <v>0</v>
          </cell>
          <cell r="AK386" t="str">
            <v>Extrusion</v>
          </cell>
          <cell r="AL386">
            <v>599.84026578073076</v>
          </cell>
          <cell r="AM386">
            <v>0</v>
          </cell>
          <cell r="AN386">
            <v>0</v>
          </cell>
          <cell r="AO386">
            <v>0</v>
          </cell>
        </row>
        <row r="387">
          <cell r="K387" t="str">
            <v>SO24-2776</v>
          </cell>
          <cell r="L387" t="str">
            <v>CHUMTONG TONED MILK  500ml</v>
          </cell>
          <cell r="M387">
            <v>0</v>
          </cell>
          <cell r="O387" t="str">
            <v>BAL</v>
          </cell>
          <cell r="P387">
            <v>1000</v>
          </cell>
          <cell r="Q387">
            <v>1</v>
          </cell>
          <cell r="R387">
            <v>1000</v>
          </cell>
          <cell r="S387" t="str">
            <v>KG</v>
          </cell>
          <cell r="T387" t="e">
            <v>#N/A</v>
          </cell>
          <cell r="U387" t="e">
            <v>#N/A</v>
          </cell>
          <cell r="V387" t="e">
            <v>#N/A</v>
          </cell>
          <cell r="W387" t="str">
            <v>KG</v>
          </cell>
          <cell r="X387">
            <v>0</v>
          </cell>
          <cell r="Y387" t="e">
            <v>#N/A</v>
          </cell>
          <cell r="Z387" t="e">
            <v>#N/A</v>
          </cell>
          <cell r="AA387" t="str">
            <v>KG</v>
          </cell>
          <cell r="AB387" t="e">
            <v>#N/A</v>
          </cell>
          <cell r="AC387" t="e">
            <v>#N/A</v>
          </cell>
          <cell r="AD387" t="e">
            <v>#N/A</v>
          </cell>
          <cell r="AE387" t="e">
            <v>#N/A</v>
          </cell>
          <cell r="AF387" t="e">
            <v>#N/A</v>
          </cell>
          <cell r="AG387" t="e">
            <v>#N/A</v>
          </cell>
          <cell r="AH387" t="e">
            <v>#N/A</v>
          </cell>
          <cell r="AI387">
            <v>0</v>
          </cell>
          <cell r="AJ387">
            <v>0</v>
          </cell>
          <cell r="AK387" t="e">
            <v>#N/A</v>
          </cell>
          <cell r="AL387" t="e">
            <v>#N/A</v>
          </cell>
          <cell r="AM387">
            <v>0</v>
          </cell>
          <cell r="AN387">
            <v>0</v>
          </cell>
          <cell r="AO387">
            <v>0</v>
          </cell>
        </row>
        <row r="388">
          <cell r="K388" t="str">
            <v>SO24-2779</v>
          </cell>
          <cell r="L388" t="str">
            <v>SQUARE ONE MOON CHIPS</v>
          </cell>
          <cell r="M388">
            <v>0</v>
          </cell>
          <cell r="O388" t="str">
            <v>BAL</v>
          </cell>
          <cell r="P388">
            <v>2500</v>
          </cell>
          <cell r="Q388">
            <v>1</v>
          </cell>
          <cell r="R388">
            <v>2500</v>
          </cell>
          <cell r="S388" t="str">
            <v>KG</v>
          </cell>
          <cell r="T388" t="e">
            <v>#N/A</v>
          </cell>
          <cell r="U388" t="e">
            <v>#N/A</v>
          </cell>
          <cell r="V388" t="e">
            <v>#N/A</v>
          </cell>
          <cell r="W388" t="str">
            <v>KG</v>
          </cell>
          <cell r="X388">
            <v>0</v>
          </cell>
          <cell r="Y388" t="e">
            <v>#N/A</v>
          </cell>
          <cell r="Z388" t="e">
            <v>#N/A</v>
          </cell>
          <cell r="AA388" t="str">
            <v>KG</v>
          </cell>
          <cell r="AB388" t="e">
            <v>#N/A</v>
          </cell>
          <cell r="AC388" t="e">
            <v>#N/A</v>
          </cell>
          <cell r="AD388" t="e">
            <v>#N/A</v>
          </cell>
          <cell r="AE388" t="e">
            <v>#N/A</v>
          </cell>
          <cell r="AF388" t="e">
            <v>#N/A</v>
          </cell>
          <cell r="AG388" t="e">
            <v>#N/A</v>
          </cell>
          <cell r="AH388" t="e">
            <v>#N/A</v>
          </cell>
          <cell r="AI388">
            <v>0</v>
          </cell>
          <cell r="AJ388">
            <v>0</v>
          </cell>
          <cell r="AK388" t="e">
            <v>#N/A</v>
          </cell>
          <cell r="AL388" t="e">
            <v>#N/A</v>
          </cell>
          <cell r="AM388">
            <v>0</v>
          </cell>
          <cell r="AN388">
            <v>0</v>
          </cell>
          <cell r="AO388">
            <v>0</v>
          </cell>
        </row>
        <row r="389">
          <cell r="K389" t="str">
            <v>SO24-2777</v>
          </cell>
          <cell r="L389" t="str">
            <v>CREAM FLIPS ORANGE 38.5g</v>
          </cell>
          <cell r="M389">
            <v>0</v>
          </cell>
          <cell r="O389" t="str">
            <v>BAL</v>
          </cell>
          <cell r="P389">
            <v>750</v>
          </cell>
          <cell r="Q389">
            <v>1</v>
          </cell>
          <cell r="R389">
            <v>750</v>
          </cell>
          <cell r="S389" t="str">
            <v>KG</v>
          </cell>
          <cell r="T389" t="e">
            <v>#N/A</v>
          </cell>
          <cell r="U389" t="e">
            <v>#N/A</v>
          </cell>
          <cell r="V389" t="e">
            <v>#N/A</v>
          </cell>
          <cell r="W389" t="str">
            <v>KG</v>
          </cell>
          <cell r="X389">
            <v>0</v>
          </cell>
          <cell r="Y389" t="e">
            <v>#N/A</v>
          </cell>
          <cell r="Z389" t="e">
            <v>#N/A</v>
          </cell>
          <cell r="AA389" t="str">
            <v>KG</v>
          </cell>
          <cell r="AB389" t="e">
            <v>#N/A</v>
          </cell>
          <cell r="AC389" t="e">
            <v>#N/A</v>
          </cell>
          <cell r="AD389" t="e">
            <v>#N/A</v>
          </cell>
          <cell r="AE389" t="e">
            <v>#N/A</v>
          </cell>
          <cell r="AF389" t="e">
            <v>#N/A</v>
          </cell>
          <cell r="AG389" t="e">
            <v>#N/A</v>
          </cell>
          <cell r="AH389" t="e">
            <v>#N/A</v>
          </cell>
          <cell r="AI389">
            <v>0</v>
          </cell>
          <cell r="AJ389">
            <v>0</v>
          </cell>
          <cell r="AK389" t="e">
            <v>#N/A</v>
          </cell>
          <cell r="AL389" t="e">
            <v>#N/A</v>
          </cell>
          <cell r="AM389">
            <v>0</v>
          </cell>
          <cell r="AN389">
            <v>0</v>
          </cell>
          <cell r="AO389">
            <v>0</v>
          </cell>
        </row>
        <row r="390">
          <cell r="K390" t="str">
            <v>SO24-2778</v>
          </cell>
          <cell r="L390" t="str">
            <v>TARET CHAK HOW BHUJIA[ROLL]</v>
          </cell>
          <cell r="M390">
            <v>0</v>
          </cell>
          <cell r="O390" t="str">
            <v>BAL</v>
          </cell>
          <cell r="P390">
            <v>300</v>
          </cell>
          <cell r="Q390">
            <v>1</v>
          </cell>
          <cell r="R390">
            <v>300</v>
          </cell>
          <cell r="S390" t="str">
            <v>KG</v>
          </cell>
          <cell r="T390" t="e">
            <v>#N/A</v>
          </cell>
          <cell r="U390" t="e">
            <v>#N/A</v>
          </cell>
          <cell r="V390" t="e">
            <v>#N/A</v>
          </cell>
          <cell r="W390" t="str">
            <v>KG</v>
          </cell>
          <cell r="X390">
            <v>0</v>
          </cell>
          <cell r="Y390" t="e">
            <v>#N/A</v>
          </cell>
          <cell r="Z390" t="e">
            <v>#N/A</v>
          </cell>
          <cell r="AA390" t="str">
            <v>KG</v>
          </cell>
          <cell r="AB390" t="e">
            <v>#N/A</v>
          </cell>
          <cell r="AC390" t="e">
            <v>#N/A</v>
          </cell>
          <cell r="AD390" t="e">
            <v>#N/A</v>
          </cell>
          <cell r="AE390" t="e">
            <v>#N/A</v>
          </cell>
          <cell r="AF390" t="e">
            <v>#N/A</v>
          </cell>
          <cell r="AG390" t="e">
            <v>#N/A</v>
          </cell>
          <cell r="AH390" t="e">
            <v>#N/A</v>
          </cell>
          <cell r="AI390">
            <v>0</v>
          </cell>
          <cell r="AJ390">
            <v>0</v>
          </cell>
          <cell r="AK390" t="e">
            <v>#N/A</v>
          </cell>
          <cell r="AL390" t="e">
            <v>#N/A</v>
          </cell>
          <cell r="AM390">
            <v>0</v>
          </cell>
          <cell r="AN390">
            <v>0</v>
          </cell>
          <cell r="AO390">
            <v>0</v>
          </cell>
        </row>
        <row r="391">
          <cell r="K391" t="str">
            <v>SO24-2780</v>
          </cell>
          <cell r="L391" t="str">
            <v>ITC A.Atta 1kg CL NO 2 (10;13;16;26;28;30;43;44 )(FPAT01666) </v>
          </cell>
          <cell r="M391">
            <v>0</v>
          </cell>
          <cell r="O391" t="str">
            <v>BAL</v>
          </cell>
          <cell r="P391">
            <v>20000</v>
          </cell>
          <cell r="Q391">
            <v>1</v>
          </cell>
          <cell r="R391">
            <v>20000</v>
          </cell>
          <cell r="S391" t="str">
            <v>KG</v>
          </cell>
          <cell r="T391" t="e">
            <v>#N/A</v>
          </cell>
          <cell r="U391" t="e">
            <v>#N/A</v>
          </cell>
          <cell r="V391" t="e">
            <v>#N/A</v>
          </cell>
          <cell r="W391" t="str">
            <v>KG</v>
          </cell>
          <cell r="X391">
            <v>0</v>
          </cell>
          <cell r="Y391" t="e">
            <v>#N/A</v>
          </cell>
          <cell r="Z391" t="e">
            <v>#N/A</v>
          </cell>
          <cell r="AA391" t="str">
            <v>KG</v>
          </cell>
          <cell r="AB391" t="e">
            <v>#N/A</v>
          </cell>
          <cell r="AC391" t="e">
            <v>#N/A</v>
          </cell>
          <cell r="AD391" t="e">
            <v>#N/A</v>
          </cell>
          <cell r="AE391" t="e">
            <v>#N/A</v>
          </cell>
          <cell r="AF391" t="e">
            <v>#N/A</v>
          </cell>
          <cell r="AG391" t="e">
            <v>#N/A</v>
          </cell>
          <cell r="AH391" t="e">
            <v>#N/A</v>
          </cell>
          <cell r="AI391">
            <v>0</v>
          </cell>
          <cell r="AJ391">
            <v>0</v>
          </cell>
          <cell r="AK391" t="e">
            <v>#N/A</v>
          </cell>
          <cell r="AL391" t="e">
            <v>#N/A</v>
          </cell>
          <cell r="AM391">
            <v>0</v>
          </cell>
          <cell r="AN391">
            <v>0</v>
          </cell>
          <cell r="AO391">
            <v>0</v>
          </cell>
        </row>
        <row r="392">
          <cell r="K392" t="str">
            <v>SO24-2782</v>
          </cell>
          <cell r="L392" t="str">
            <v>ITC A.Atta 1kg Mic QC Promo Bengali  (FPAT01859)</v>
          </cell>
          <cell r="M392">
            <v>0</v>
          </cell>
          <cell r="O392" t="str">
            <v>BAL</v>
          </cell>
          <cell r="P392">
            <v>15000</v>
          </cell>
          <cell r="Q392">
            <v>1</v>
          </cell>
          <cell r="R392">
            <v>15000</v>
          </cell>
          <cell r="S392" t="str">
            <v>KG</v>
          </cell>
          <cell r="T392" t="e">
            <v>#N/A</v>
          </cell>
          <cell r="U392" t="e">
            <v>#N/A</v>
          </cell>
          <cell r="V392" t="e">
            <v>#N/A</v>
          </cell>
          <cell r="W392" t="str">
            <v>KG</v>
          </cell>
          <cell r="X392">
            <v>0</v>
          </cell>
          <cell r="Y392" t="e">
            <v>#N/A</v>
          </cell>
          <cell r="Z392" t="e">
            <v>#N/A</v>
          </cell>
          <cell r="AA392" t="str">
            <v>KG</v>
          </cell>
          <cell r="AB392" t="e">
            <v>#N/A</v>
          </cell>
          <cell r="AC392" t="e">
            <v>#N/A</v>
          </cell>
          <cell r="AD392" t="e">
            <v>#N/A</v>
          </cell>
          <cell r="AE392" t="e">
            <v>#N/A</v>
          </cell>
          <cell r="AF392" t="e">
            <v>#N/A</v>
          </cell>
          <cell r="AG392" t="e">
            <v>#N/A</v>
          </cell>
          <cell r="AH392" t="e">
            <v>#N/A</v>
          </cell>
          <cell r="AI392">
            <v>0</v>
          </cell>
          <cell r="AJ392">
            <v>0</v>
          </cell>
          <cell r="AK392" t="e">
            <v>#N/A</v>
          </cell>
          <cell r="AL392" t="e">
            <v>#N/A</v>
          </cell>
          <cell r="AM392">
            <v>0</v>
          </cell>
          <cell r="AN392">
            <v>0</v>
          </cell>
          <cell r="AO392">
            <v>0</v>
          </cell>
        </row>
        <row r="393">
          <cell r="K393" t="str">
            <v>SO24-2786</v>
          </cell>
          <cell r="L393" t="str">
            <v>ITC A.Atta 1kg Mic QC Promo Odia  (FPAT01856)</v>
          </cell>
          <cell r="M393">
            <v>0</v>
          </cell>
          <cell r="O393" t="str">
            <v>BAL</v>
          </cell>
          <cell r="P393">
            <v>20000</v>
          </cell>
          <cell r="Q393">
            <v>1</v>
          </cell>
          <cell r="R393">
            <v>20000</v>
          </cell>
          <cell r="S393" t="str">
            <v>KG</v>
          </cell>
          <cell r="T393" t="e">
            <v>#N/A</v>
          </cell>
          <cell r="U393" t="e">
            <v>#N/A</v>
          </cell>
          <cell r="V393" t="e">
            <v>#N/A</v>
          </cell>
          <cell r="W393" t="str">
            <v>KG</v>
          </cell>
          <cell r="X393">
            <v>0</v>
          </cell>
          <cell r="Y393" t="e">
            <v>#N/A</v>
          </cell>
          <cell r="Z393" t="e">
            <v>#N/A</v>
          </cell>
          <cell r="AA393" t="str">
            <v>KG</v>
          </cell>
          <cell r="AB393" t="e">
            <v>#N/A</v>
          </cell>
          <cell r="AC393" t="e">
            <v>#N/A</v>
          </cell>
          <cell r="AD393" t="e">
            <v>#N/A</v>
          </cell>
          <cell r="AE393" t="e">
            <v>#N/A</v>
          </cell>
          <cell r="AF393" t="e">
            <v>#N/A</v>
          </cell>
          <cell r="AG393" t="e">
            <v>#N/A</v>
          </cell>
          <cell r="AH393" t="e">
            <v>#N/A</v>
          </cell>
          <cell r="AI393">
            <v>0</v>
          </cell>
          <cell r="AJ393">
            <v>0</v>
          </cell>
          <cell r="AK393" t="e">
            <v>#N/A</v>
          </cell>
          <cell r="AL393" t="e">
            <v>#N/A</v>
          </cell>
          <cell r="AM393">
            <v>0</v>
          </cell>
          <cell r="AN393">
            <v>0</v>
          </cell>
          <cell r="AO393">
            <v>0</v>
          </cell>
        </row>
        <row r="394">
          <cell r="K394" t="str">
            <v>SO24-2783</v>
          </cell>
          <cell r="L394" t="str">
            <v>ITC A.Atta 2kg CL NO 2 (10,13,16,26,28,30,43,44)(FPAT01667)</v>
          </cell>
          <cell r="M394">
            <v>0</v>
          </cell>
          <cell r="O394" t="str">
            <v>BAL</v>
          </cell>
          <cell r="P394">
            <v>7000</v>
          </cell>
          <cell r="Q394">
            <v>1</v>
          </cell>
          <cell r="R394">
            <v>7000</v>
          </cell>
          <cell r="S394" t="str">
            <v>KG</v>
          </cell>
          <cell r="T394" t="e">
            <v>#N/A</v>
          </cell>
          <cell r="U394" t="e">
            <v>#N/A</v>
          </cell>
          <cell r="V394" t="e">
            <v>#N/A</v>
          </cell>
          <cell r="W394" t="str">
            <v>KG</v>
          </cell>
          <cell r="X394">
            <v>0</v>
          </cell>
          <cell r="Y394" t="e">
            <v>#N/A</v>
          </cell>
          <cell r="Z394" t="e">
            <v>#N/A</v>
          </cell>
          <cell r="AA394" t="str">
            <v>KG</v>
          </cell>
          <cell r="AB394" t="e">
            <v>#N/A</v>
          </cell>
          <cell r="AC394" t="e">
            <v>#N/A</v>
          </cell>
          <cell r="AD394" t="e">
            <v>#N/A</v>
          </cell>
          <cell r="AE394" t="e">
            <v>#N/A</v>
          </cell>
          <cell r="AF394" t="e">
            <v>#N/A</v>
          </cell>
          <cell r="AG394" t="e">
            <v>#N/A</v>
          </cell>
          <cell r="AH394" t="e">
            <v>#N/A</v>
          </cell>
          <cell r="AI394">
            <v>0</v>
          </cell>
          <cell r="AJ394">
            <v>0</v>
          </cell>
          <cell r="AK394" t="e">
            <v>#N/A</v>
          </cell>
          <cell r="AL394" t="e">
            <v>#N/A</v>
          </cell>
          <cell r="AM394">
            <v>0</v>
          </cell>
          <cell r="AN394">
            <v>0</v>
          </cell>
          <cell r="AO394">
            <v>0</v>
          </cell>
        </row>
        <row r="395">
          <cell r="K395" t="str">
            <v>SO24-2787</v>
          </cell>
          <cell r="L395" t="str">
            <v>ITC A.Atta 2kg Mic QC Promo Bengali  (FPAT01860)</v>
          </cell>
          <cell r="M395">
            <v>0</v>
          </cell>
          <cell r="O395" t="str">
            <v>BAL</v>
          </cell>
          <cell r="P395">
            <v>3000</v>
          </cell>
          <cell r="Q395">
            <v>1</v>
          </cell>
          <cell r="R395">
            <v>3000</v>
          </cell>
          <cell r="S395" t="str">
            <v>KG</v>
          </cell>
          <cell r="T395" t="e">
            <v>#DIV/0!</v>
          </cell>
          <cell r="U395" t="e">
            <v>#DIV/0!</v>
          </cell>
          <cell r="V395" t="e">
            <v>#DIV/0!</v>
          </cell>
          <cell r="W395" t="str">
            <v>KG</v>
          </cell>
          <cell r="X395">
            <v>0</v>
          </cell>
          <cell r="Y395" t="e">
            <v>#DIV/0!</v>
          </cell>
          <cell r="Z395" t="e">
            <v>#DIV/0!</v>
          </cell>
          <cell r="AA395" t="str">
            <v>KG</v>
          </cell>
          <cell r="AB395" t="e">
            <v>#DIV/0!</v>
          </cell>
          <cell r="AC395" t="e">
            <v>#DIV/0!</v>
          </cell>
          <cell r="AD395" t="e">
            <v>#DIV/0!</v>
          </cell>
          <cell r="AE395" t="e">
            <v>#N/A</v>
          </cell>
          <cell r="AF395">
            <v>0</v>
          </cell>
          <cell r="AG395" t="e">
            <v>#N/A</v>
          </cell>
          <cell r="AH395" t="e">
            <v>#N/A</v>
          </cell>
          <cell r="AI395">
            <v>0</v>
          </cell>
          <cell r="AJ395">
            <v>0</v>
          </cell>
          <cell r="AK395">
            <v>0</v>
          </cell>
          <cell r="AL395" t="e">
            <v>#DIV/0!</v>
          </cell>
          <cell r="AM395">
            <v>0</v>
          </cell>
          <cell r="AN395">
            <v>0</v>
          </cell>
          <cell r="AO395">
            <v>0</v>
          </cell>
        </row>
        <row r="396">
          <cell r="K396" t="str">
            <v>SO24-2784</v>
          </cell>
          <cell r="L396" t="str">
            <v>ITC A.Atta 5kg Mic per (Cl no3 -10,16,22,26,28,36,41,43,44,56)(FPAT01668)R1</v>
          </cell>
          <cell r="M396">
            <v>0</v>
          </cell>
          <cell r="O396" t="str">
            <v>BAL</v>
          </cell>
          <cell r="P396">
            <v>14000</v>
          </cell>
          <cell r="Q396">
            <v>1</v>
          </cell>
          <cell r="R396">
            <v>14000</v>
          </cell>
          <cell r="S396" t="str">
            <v>KG</v>
          </cell>
          <cell r="T396" t="e">
            <v>#N/A</v>
          </cell>
          <cell r="U396" t="e">
            <v>#N/A</v>
          </cell>
          <cell r="V396" t="e">
            <v>#N/A</v>
          </cell>
          <cell r="W396" t="str">
            <v>KG</v>
          </cell>
          <cell r="X396">
            <v>0</v>
          </cell>
          <cell r="Y396" t="e">
            <v>#N/A</v>
          </cell>
          <cell r="Z396" t="e">
            <v>#N/A</v>
          </cell>
          <cell r="AA396" t="str">
            <v>KG</v>
          </cell>
          <cell r="AB396" t="e">
            <v>#N/A</v>
          </cell>
          <cell r="AC396" t="e">
            <v>#N/A</v>
          </cell>
          <cell r="AD396" t="e">
            <v>#N/A</v>
          </cell>
          <cell r="AE396" t="e">
            <v>#N/A</v>
          </cell>
          <cell r="AF396" t="e">
            <v>#N/A</v>
          </cell>
          <cell r="AG396" t="e">
            <v>#N/A</v>
          </cell>
          <cell r="AH396" t="e">
            <v>#N/A</v>
          </cell>
          <cell r="AI396">
            <v>0</v>
          </cell>
          <cell r="AJ396">
            <v>0</v>
          </cell>
          <cell r="AK396" t="e">
            <v>#N/A</v>
          </cell>
          <cell r="AL396" t="e">
            <v>#N/A</v>
          </cell>
          <cell r="AM396">
            <v>0</v>
          </cell>
          <cell r="AN396">
            <v>0</v>
          </cell>
          <cell r="AO396">
            <v>0</v>
          </cell>
        </row>
        <row r="397">
          <cell r="K397" t="str">
            <v>SO24-2785</v>
          </cell>
          <cell r="L397" t="str">
            <v>ITC A.Atta 5kg Mic QC Promo Bengali Cl no-3  (FPAT01861)</v>
          </cell>
          <cell r="M397">
            <v>0</v>
          </cell>
          <cell r="O397" t="str">
            <v>BAL</v>
          </cell>
          <cell r="P397">
            <v>20000</v>
          </cell>
          <cell r="Q397">
            <v>1</v>
          </cell>
          <cell r="R397">
            <v>20000</v>
          </cell>
          <cell r="S397" t="str">
            <v>KG</v>
          </cell>
          <cell r="T397" t="e">
            <v>#N/A</v>
          </cell>
          <cell r="U397" t="e">
            <v>#N/A</v>
          </cell>
          <cell r="V397" t="e">
            <v>#N/A</v>
          </cell>
          <cell r="W397" t="str">
            <v>KG</v>
          </cell>
          <cell r="X397">
            <v>0</v>
          </cell>
          <cell r="Y397" t="e">
            <v>#N/A</v>
          </cell>
          <cell r="Z397" t="e">
            <v>#N/A</v>
          </cell>
          <cell r="AA397" t="str">
            <v>KG</v>
          </cell>
          <cell r="AB397" t="e">
            <v>#N/A</v>
          </cell>
          <cell r="AC397" t="e">
            <v>#N/A</v>
          </cell>
          <cell r="AD397" t="e">
            <v>#N/A</v>
          </cell>
          <cell r="AE397" t="e">
            <v>#N/A</v>
          </cell>
          <cell r="AF397" t="e">
            <v>#N/A</v>
          </cell>
          <cell r="AG397" t="e">
            <v>#N/A</v>
          </cell>
          <cell r="AH397" t="e">
            <v>#N/A</v>
          </cell>
          <cell r="AI397">
            <v>0</v>
          </cell>
          <cell r="AJ397">
            <v>0</v>
          </cell>
          <cell r="AK397" t="e">
            <v>#N/A</v>
          </cell>
          <cell r="AL397" t="e">
            <v>#N/A</v>
          </cell>
          <cell r="AM397">
            <v>0</v>
          </cell>
          <cell r="AN397">
            <v>0</v>
          </cell>
          <cell r="AO397">
            <v>0</v>
          </cell>
        </row>
        <row r="398">
          <cell r="K398" t="str">
            <v>SO24-2788</v>
          </cell>
          <cell r="L398" t="str">
            <v>ITC A.Atta 5kg Mic QC Promo Odia  (FPAT01857)</v>
          </cell>
          <cell r="M398">
            <v>0</v>
          </cell>
          <cell r="O398" t="str">
            <v>BAL</v>
          </cell>
          <cell r="P398">
            <v>30000</v>
          </cell>
          <cell r="Q398">
            <v>1</v>
          </cell>
          <cell r="R398">
            <v>30000</v>
          </cell>
          <cell r="S398" t="str">
            <v>KG</v>
          </cell>
          <cell r="T398" t="e">
            <v>#DIV/0!</v>
          </cell>
          <cell r="U398" t="e">
            <v>#DIV/0!</v>
          </cell>
          <cell r="V398" t="e">
            <v>#DIV/0!</v>
          </cell>
          <cell r="W398" t="str">
            <v>KG</v>
          </cell>
          <cell r="X398">
            <v>0</v>
          </cell>
          <cell r="Y398" t="e">
            <v>#DIV/0!</v>
          </cell>
          <cell r="Z398" t="e">
            <v>#DIV/0!</v>
          </cell>
          <cell r="AA398" t="str">
            <v>KG</v>
          </cell>
          <cell r="AB398" t="e">
            <v>#DIV/0!</v>
          </cell>
          <cell r="AC398" t="e">
            <v>#DIV/0!</v>
          </cell>
          <cell r="AD398" t="e">
            <v>#DIV/0!</v>
          </cell>
          <cell r="AE398" t="e">
            <v>#N/A</v>
          </cell>
          <cell r="AF398">
            <v>0</v>
          </cell>
          <cell r="AG398" t="e">
            <v>#N/A</v>
          </cell>
          <cell r="AH398" t="e">
            <v>#N/A</v>
          </cell>
          <cell r="AI398">
            <v>0</v>
          </cell>
          <cell r="AJ398">
            <v>0</v>
          </cell>
          <cell r="AK398">
            <v>0</v>
          </cell>
          <cell r="AL398" t="e">
            <v>#DIV/0!</v>
          </cell>
          <cell r="AM398">
            <v>0</v>
          </cell>
          <cell r="AN398">
            <v>0</v>
          </cell>
          <cell r="AO398">
            <v>0</v>
          </cell>
        </row>
        <row r="399">
          <cell r="K399" t="str">
            <v>SO24-2789</v>
          </cell>
          <cell r="L399" t="str">
            <v>ITC SUNFEAST BOUNCE DOUBLE CREAM INNER 70G COMMON(15BOPP/18METL.BOPP)FPBI03567</v>
          </cell>
          <cell r="M399">
            <v>0</v>
          </cell>
          <cell r="O399" t="str">
            <v>BAL</v>
          </cell>
          <cell r="P399">
            <v>2000</v>
          </cell>
          <cell r="Q399">
            <v>1</v>
          </cell>
          <cell r="R399">
            <v>2000</v>
          </cell>
          <cell r="S399" t="str">
            <v>KG</v>
          </cell>
          <cell r="T399" t="e">
            <v>#N/A</v>
          </cell>
          <cell r="U399" t="e">
            <v>#N/A</v>
          </cell>
          <cell r="V399" t="e">
            <v>#N/A</v>
          </cell>
          <cell r="W399" t="str">
            <v>KG</v>
          </cell>
          <cell r="X399">
            <v>0</v>
          </cell>
          <cell r="Y399" t="e">
            <v>#N/A</v>
          </cell>
          <cell r="Z399" t="e">
            <v>#N/A</v>
          </cell>
          <cell r="AA399" t="str">
            <v>KG</v>
          </cell>
          <cell r="AB399" t="e">
            <v>#N/A</v>
          </cell>
          <cell r="AC399" t="e">
            <v>#N/A</v>
          </cell>
          <cell r="AD399" t="e">
            <v>#N/A</v>
          </cell>
          <cell r="AE399" t="e">
            <v>#N/A</v>
          </cell>
          <cell r="AF399" t="e">
            <v>#N/A</v>
          </cell>
          <cell r="AG399" t="e">
            <v>#N/A</v>
          </cell>
          <cell r="AH399" t="e">
            <v>#N/A</v>
          </cell>
          <cell r="AI399">
            <v>0</v>
          </cell>
          <cell r="AJ399">
            <v>0</v>
          </cell>
          <cell r="AK399" t="e">
            <v>#N/A</v>
          </cell>
          <cell r="AL399" t="e">
            <v>#N/A</v>
          </cell>
          <cell r="AM399">
            <v>0</v>
          </cell>
          <cell r="AN399">
            <v>0</v>
          </cell>
          <cell r="AO399">
            <v>0</v>
          </cell>
        </row>
        <row r="400">
          <cell r="M400" t="e">
            <v>#N/A</v>
          </cell>
          <cell r="O400" t="str">
            <v>BAL</v>
          </cell>
          <cell r="P400">
            <v>0</v>
          </cell>
          <cell r="Q400">
            <v>1</v>
          </cell>
          <cell r="S400" t="str">
            <v>KG</v>
          </cell>
          <cell r="T400" t="e">
            <v>#N/A</v>
          </cell>
          <cell r="U400" t="e">
            <v>#N/A</v>
          </cell>
          <cell r="V400" t="e">
            <v>#N/A</v>
          </cell>
          <cell r="W400" t="str">
            <v>KG</v>
          </cell>
          <cell r="X400">
            <v>0</v>
          </cell>
          <cell r="Y400" t="e">
            <v>#N/A</v>
          </cell>
          <cell r="Z400" t="e">
            <v>#N/A</v>
          </cell>
          <cell r="AA400" t="str">
            <v>KG</v>
          </cell>
          <cell r="AB400" t="e">
            <v>#N/A</v>
          </cell>
          <cell r="AC400" t="e">
            <v>#N/A</v>
          </cell>
          <cell r="AD400" t="e">
            <v>#N/A</v>
          </cell>
          <cell r="AE400" t="e">
            <v>#N/A</v>
          </cell>
          <cell r="AF400" t="e">
            <v>#N/A</v>
          </cell>
          <cell r="AG400" t="e">
            <v>#N/A</v>
          </cell>
          <cell r="AH400" t="e">
            <v>#N/A</v>
          </cell>
          <cell r="AI400">
            <v>0</v>
          </cell>
          <cell r="AJ400">
            <v>0</v>
          </cell>
          <cell r="AK400" t="e">
            <v>#N/A</v>
          </cell>
          <cell r="AL400" t="e">
            <v>#N/A</v>
          </cell>
          <cell r="AM400">
            <v>0</v>
          </cell>
          <cell r="AN400">
            <v>0</v>
          </cell>
          <cell r="AO400">
            <v>0</v>
          </cell>
        </row>
        <row r="401">
          <cell r="M401" t="e">
            <v>#N/A</v>
          </cell>
          <cell r="O401" t="str">
            <v>BAL</v>
          </cell>
          <cell r="P401">
            <v>0</v>
          </cell>
          <cell r="Q401">
            <v>1</v>
          </cell>
          <cell r="S401" t="str">
            <v>KG</v>
          </cell>
          <cell r="T401" t="e">
            <v>#N/A</v>
          </cell>
          <cell r="U401" t="e">
            <v>#N/A</v>
          </cell>
          <cell r="V401" t="e">
            <v>#N/A</v>
          </cell>
          <cell r="W401" t="str">
            <v>KG</v>
          </cell>
          <cell r="X401">
            <v>0</v>
          </cell>
          <cell r="Y401" t="e">
            <v>#N/A</v>
          </cell>
          <cell r="Z401" t="e">
            <v>#N/A</v>
          </cell>
          <cell r="AA401" t="str">
            <v>KG</v>
          </cell>
          <cell r="AB401" t="e">
            <v>#N/A</v>
          </cell>
          <cell r="AC401" t="e">
            <v>#N/A</v>
          </cell>
          <cell r="AD401" t="e">
            <v>#N/A</v>
          </cell>
          <cell r="AE401" t="e">
            <v>#N/A</v>
          </cell>
          <cell r="AF401" t="e">
            <v>#N/A</v>
          </cell>
          <cell r="AG401" t="e">
            <v>#N/A</v>
          </cell>
          <cell r="AH401" t="e">
            <v>#N/A</v>
          </cell>
          <cell r="AI401">
            <v>0</v>
          </cell>
          <cell r="AJ401">
            <v>0</v>
          </cell>
          <cell r="AK401" t="e">
            <v>#N/A</v>
          </cell>
          <cell r="AL401" t="e">
            <v>#N/A</v>
          </cell>
          <cell r="AM401">
            <v>0</v>
          </cell>
          <cell r="AN401">
            <v>0</v>
          </cell>
          <cell r="AO401">
            <v>0</v>
          </cell>
        </row>
        <row r="402">
          <cell r="M402" t="e">
            <v>#N/A</v>
          </cell>
          <cell r="O402" t="str">
            <v>BAL</v>
          </cell>
          <cell r="P402">
            <v>0</v>
          </cell>
          <cell r="Q402">
            <v>1</v>
          </cell>
          <cell r="S402" t="str">
            <v>KG</v>
          </cell>
          <cell r="T402" t="e">
            <v>#N/A</v>
          </cell>
          <cell r="U402" t="e">
            <v>#N/A</v>
          </cell>
          <cell r="V402" t="e">
            <v>#N/A</v>
          </cell>
          <cell r="W402" t="str">
            <v>KG</v>
          </cell>
          <cell r="X402">
            <v>0</v>
          </cell>
          <cell r="Y402" t="e">
            <v>#N/A</v>
          </cell>
          <cell r="Z402" t="e">
            <v>#N/A</v>
          </cell>
          <cell r="AA402" t="str">
            <v>KG</v>
          </cell>
          <cell r="AB402" t="e">
            <v>#N/A</v>
          </cell>
          <cell r="AC402" t="e">
            <v>#N/A</v>
          </cell>
          <cell r="AD402" t="e">
            <v>#N/A</v>
          </cell>
          <cell r="AE402" t="e">
            <v>#N/A</v>
          </cell>
          <cell r="AF402" t="e">
            <v>#N/A</v>
          </cell>
          <cell r="AG402" t="e">
            <v>#N/A</v>
          </cell>
          <cell r="AH402" t="e">
            <v>#N/A</v>
          </cell>
          <cell r="AI402">
            <v>0</v>
          </cell>
          <cell r="AJ402">
            <v>0</v>
          </cell>
          <cell r="AK402" t="e">
            <v>#N/A</v>
          </cell>
          <cell r="AL402" t="e">
            <v>#N/A</v>
          </cell>
          <cell r="AM402">
            <v>0</v>
          </cell>
          <cell r="AN402">
            <v>0</v>
          </cell>
          <cell r="AO402">
            <v>0</v>
          </cell>
        </row>
        <row r="403">
          <cell r="M403" t="e">
            <v>#N/A</v>
          </cell>
          <cell r="O403" t="str">
            <v>BAL</v>
          </cell>
          <cell r="P403">
            <v>0</v>
          </cell>
          <cell r="Q403">
            <v>1</v>
          </cell>
          <cell r="S403" t="str">
            <v>KG</v>
          </cell>
          <cell r="T403" t="e">
            <v>#N/A</v>
          </cell>
          <cell r="U403" t="e">
            <v>#N/A</v>
          </cell>
          <cell r="V403" t="e">
            <v>#N/A</v>
          </cell>
          <cell r="W403" t="str">
            <v>KG</v>
          </cell>
          <cell r="X403">
            <v>0</v>
          </cell>
          <cell r="Y403" t="e">
            <v>#N/A</v>
          </cell>
          <cell r="Z403" t="e">
            <v>#N/A</v>
          </cell>
          <cell r="AA403" t="str">
            <v>KG</v>
          </cell>
          <cell r="AB403" t="e">
            <v>#N/A</v>
          </cell>
          <cell r="AC403" t="e">
            <v>#N/A</v>
          </cell>
          <cell r="AD403" t="e">
            <v>#N/A</v>
          </cell>
          <cell r="AE403" t="e">
            <v>#N/A</v>
          </cell>
          <cell r="AF403" t="e">
            <v>#N/A</v>
          </cell>
          <cell r="AG403" t="e">
            <v>#N/A</v>
          </cell>
          <cell r="AH403" t="e">
            <v>#N/A</v>
          </cell>
          <cell r="AI403">
            <v>0</v>
          </cell>
          <cell r="AJ403">
            <v>0</v>
          </cell>
          <cell r="AK403" t="e">
            <v>#N/A</v>
          </cell>
          <cell r="AL403" t="e">
            <v>#N/A</v>
          </cell>
          <cell r="AM403">
            <v>0</v>
          </cell>
          <cell r="AN403">
            <v>0</v>
          </cell>
          <cell r="AO403">
            <v>0</v>
          </cell>
        </row>
        <row r="404">
          <cell r="M404" t="e">
            <v>#N/A</v>
          </cell>
          <cell r="O404" t="str">
            <v>BAL</v>
          </cell>
          <cell r="P404">
            <v>0</v>
          </cell>
          <cell r="Q404">
            <v>1</v>
          </cell>
          <cell r="S404" t="str">
            <v>KG</v>
          </cell>
          <cell r="T404" t="e">
            <v>#N/A</v>
          </cell>
          <cell r="U404" t="e">
            <v>#N/A</v>
          </cell>
          <cell r="V404" t="e">
            <v>#N/A</v>
          </cell>
          <cell r="W404" t="str">
            <v>KG</v>
          </cell>
          <cell r="X404">
            <v>0</v>
          </cell>
          <cell r="Y404" t="e">
            <v>#N/A</v>
          </cell>
          <cell r="Z404" t="e">
            <v>#N/A</v>
          </cell>
          <cell r="AA404" t="str">
            <v>KG</v>
          </cell>
          <cell r="AB404" t="e">
            <v>#N/A</v>
          </cell>
          <cell r="AC404" t="e">
            <v>#N/A</v>
          </cell>
          <cell r="AD404" t="e">
            <v>#N/A</v>
          </cell>
          <cell r="AE404" t="e">
            <v>#N/A</v>
          </cell>
          <cell r="AF404" t="e">
            <v>#N/A</v>
          </cell>
          <cell r="AG404" t="e">
            <v>#N/A</v>
          </cell>
          <cell r="AH404" t="e">
            <v>#N/A</v>
          </cell>
          <cell r="AI404">
            <v>0</v>
          </cell>
          <cell r="AJ404">
            <v>0</v>
          </cell>
          <cell r="AK404" t="e">
            <v>#N/A</v>
          </cell>
          <cell r="AL404" t="e">
            <v>#N/A</v>
          </cell>
          <cell r="AM404">
            <v>0</v>
          </cell>
          <cell r="AN404">
            <v>0</v>
          </cell>
          <cell r="AO404">
            <v>0</v>
          </cell>
        </row>
        <row r="405">
          <cell r="M405" t="e">
            <v>#N/A</v>
          </cell>
          <cell r="O405" t="str">
            <v>BAL</v>
          </cell>
          <cell r="P405">
            <v>0</v>
          </cell>
          <cell r="Q405">
            <v>1</v>
          </cell>
          <cell r="S405" t="str">
            <v>KG</v>
          </cell>
          <cell r="T405" t="e">
            <v>#N/A</v>
          </cell>
          <cell r="U405" t="e">
            <v>#N/A</v>
          </cell>
          <cell r="V405" t="e">
            <v>#N/A</v>
          </cell>
          <cell r="W405" t="str">
            <v>KG</v>
          </cell>
          <cell r="X405">
            <v>0</v>
          </cell>
          <cell r="Y405" t="e">
            <v>#N/A</v>
          </cell>
          <cell r="Z405" t="e">
            <v>#N/A</v>
          </cell>
          <cell r="AA405" t="str">
            <v>KG</v>
          </cell>
          <cell r="AB405" t="e">
            <v>#N/A</v>
          </cell>
          <cell r="AC405" t="e">
            <v>#N/A</v>
          </cell>
          <cell r="AD405" t="e">
            <v>#N/A</v>
          </cell>
          <cell r="AE405" t="e">
            <v>#N/A</v>
          </cell>
          <cell r="AF405" t="e">
            <v>#N/A</v>
          </cell>
          <cell r="AG405" t="e">
            <v>#N/A</v>
          </cell>
          <cell r="AH405" t="e">
            <v>#N/A</v>
          </cell>
          <cell r="AI405">
            <v>0</v>
          </cell>
          <cell r="AJ405">
            <v>0</v>
          </cell>
          <cell r="AK405" t="e">
            <v>#N/A</v>
          </cell>
          <cell r="AL405" t="e">
            <v>#N/A</v>
          </cell>
          <cell r="AM405">
            <v>0</v>
          </cell>
          <cell r="AN405">
            <v>0</v>
          </cell>
          <cell r="AO405">
            <v>0</v>
          </cell>
        </row>
        <row r="406">
          <cell r="M406" t="e">
            <v>#N/A</v>
          </cell>
          <cell r="O406" t="str">
            <v>BAL</v>
          </cell>
          <cell r="P406">
            <v>0</v>
          </cell>
          <cell r="Q406">
            <v>1</v>
          </cell>
          <cell r="S406" t="str">
            <v>KG</v>
          </cell>
          <cell r="T406" t="e">
            <v>#N/A</v>
          </cell>
          <cell r="U406" t="e">
            <v>#N/A</v>
          </cell>
          <cell r="V406" t="e">
            <v>#N/A</v>
          </cell>
          <cell r="W406" t="str">
            <v>KG</v>
          </cell>
          <cell r="X406">
            <v>0</v>
          </cell>
          <cell r="Y406" t="e">
            <v>#N/A</v>
          </cell>
          <cell r="Z406" t="e">
            <v>#N/A</v>
          </cell>
          <cell r="AA406" t="str">
            <v>KG</v>
          </cell>
          <cell r="AB406" t="e">
            <v>#N/A</v>
          </cell>
          <cell r="AC406" t="e">
            <v>#N/A</v>
          </cell>
          <cell r="AD406" t="e">
            <v>#N/A</v>
          </cell>
          <cell r="AE406" t="e">
            <v>#N/A</v>
          </cell>
          <cell r="AF406" t="e">
            <v>#N/A</v>
          </cell>
          <cell r="AG406" t="e">
            <v>#N/A</v>
          </cell>
          <cell r="AH406" t="e">
            <v>#N/A</v>
          </cell>
          <cell r="AI406">
            <v>0</v>
          </cell>
          <cell r="AJ406">
            <v>0</v>
          </cell>
          <cell r="AK406" t="e">
            <v>#N/A</v>
          </cell>
          <cell r="AL406" t="e">
            <v>#N/A</v>
          </cell>
          <cell r="AM406">
            <v>0</v>
          </cell>
          <cell r="AN406">
            <v>0</v>
          </cell>
          <cell r="AO406">
            <v>0</v>
          </cell>
        </row>
        <row r="407">
          <cell r="M407" t="e">
            <v>#N/A</v>
          </cell>
          <cell r="O407" t="str">
            <v>BAL</v>
          </cell>
          <cell r="P407">
            <v>0</v>
          </cell>
          <cell r="Q407">
            <v>1</v>
          </cell>
          <cell r="S407" t="str">
            <v>KG</v>
          </cell>
          <cell r="T407" t="e">
            <v>#N/A</v>
          </cell>
          <cell r="U407" t="e">
            <v>#N/A</v>
          </cell>
          <cell r="V407" t="e">
            <v>#N/A</v>
          </cell>
          <cell r="W407" t="str">
            <v>KG</v>
          </cell>
          <cell r="X407">
            <v>0</v>
          </cell>
          <cell r="Y407" t="e">
            <v>#N/A</v>
          </cell>
          <cell r="Z407" t="e">
            <v>#N/A</v>
          </cell>
          <cell r="AA407" t="str">
            <v>KG</v>
          </cell>
          <cell r="AB407" t="e">
            <v>#N/A</v>
          </cell>
          <cell r="AC407" t="e">
            <v>#N/A</v>
          </cell>
          <cell r="AD407" t="e">
            <v>#N/A</v>
          </cell>
          <cell r="AE407" t="e">
            <v>#N/A</v>
          </cell>
          <cell r="AF407" t="e">
            <v>#N/A</v>
          </cell>
          <cell r="AG407" t="e">
            <v>#N/A</v>
          </cell>
          <cell r="AH407" t="e">
            <v>#N/A</v>
          </cell>
          <cell r="AI407">
            <v>0</v>
          </cell>
          <cell r="AJ407">
            <v>0</v>
          </cell>
          <cell r="AK407" t="e">
            <v>#N/A</v>
          </cell>
          <cell r="AL407" t="e">
            <v>#N/A</v>
          </cell>
          <cell r="AM407">
            <v>0</v>
          </cell>
          <cell r="AN407">
            <v>0</v>
          </cell>
          <cell r="AO407">
            <v>0</v>
          </cell>
        </row>
        <row r="408">
          <cell r="M408" t="e">
            <v>#N/A</v>
          </cell>
          <cell r="O408" t="str">
            <v>BAL</v>
          </cell>
          <cell r="P408">
            <v>0</v>
          </cell>
          <cell r="Q408">
            <v>1</v>
          </cell>
          <cell r="S408" t="str">
            <v>KG</v>
          </cell>
          <cell r="T408" t="e">
            <v>#N/A</v>
          </cell>
          <cell r="U408" t="e">
            <v>#N/A</v>
          </cell>
          <cell r="V408" t="e">
            <v>#N/A</v>
          </cell>
          <cell r="W408" t="str">
            <v>KG</v>
          </cell>
          <cell r="X408">
            <v>0</v>
          </cell>
          <cell r="Y408" t="e">
            <v>#N/A</v>
          </cell>
          <cell r="Z408" t="e">
            <v>#N/A</v>
          </cell>
          <cell r="AA408" t="str">
            <v>KG</v>
          </cell>
          <cell r="AB408" t="e">
            <v>#N/A</v>
          </cell>
          <cell r="AC408" t="e">
            <v>#N/A</v>
          </cell>
          <cell r="AD408" t="e">
            <v>#N/A</v>
          </cell>
          <cell r="AE408" t="e">
            <v>#N/A</v>
          </cell>
          <cell r="AF408" t="e">
            <v>#N/A</v>
          </cell>
          <cell r="AG408" t="e">
            <v>#N/A</v>
          </cell>
          <cell r="AH408" t="e">
            <v>#N/A</v>
          </cell>
          <cell r="AI408">
            <v>0</v>
          </cell>
          <cell r="AJ408">
            <v>0</v>
          </cell>
          <cell r="AK408" t="e">
            <v>#N/A</v>
          </cell>
          <cell r="AL408" t="e">
            <v>#N/A</v>
          </cell>
          <cell r="AM408">
            <v>0</v>
          </cell>
          <cell r="AN408">
            <v>0</v>
          </cell>
          <cell r="AO408">
            <v>0</v>
          </cell>
        </row>
        <row r="409">
          <cell r="M409" t="e">
            <v>#N/A</v>
          </cell>
          <cell r="O409" t="str">
            <v>BAL</v>
          </cell>
          <cell r="P409">
            <v>0</v>
          </cell>
          <cell r="Q409">
            <v>1</v>
          </cell>
          <cell r="S409" t="str">
            <v>KG</v>
          </cell>
          <cell r="T409" t="e">
            <v>#N/A</v>
          </cell>
          <cell r="U409" t="e">
            <v>#N/A</v>
          </cell>
          <cell r="V409" t="e">
            <v>#N/A</v>
          </cell>
          <cell r="W409" t="str">
            <v>KG</v>
          </cell>
          <cell r="X409">
            <v>0</v>
          </cell>
          <cell r="Y409" t="e">
            <v>#N/A</v>
          </cell>
          <cell r="Z409" t="e">
            <v>#N/A</v>
          </cell>
          <cell r="AA409" t="str">
            <v>KG</v>
          </cell>
          <cell r="AB409" t="e">
            <v>#N/A</v>
          </cell>
          <cell r="AC409" t="e">
            <v>#N/A</v>
          </cell>
          <cell r="AD409" t="e">
            <v>#N/A</v>
          </cell>
          <cell r="AE409" t="e">
            <v>#N/A</v>
          </cell>
          <cell r="AF409" t="e">
            <v>#N/A</v>
          </cell>
          <cell r="AG409" t="e">
            <v>#N/A</v>
          </cell>
          <cell r="AH409" t="e">
            <v>#N/A</v>
          </cell>
          <cell r="AI409">
            <v>0</v>
          </cell>
          <cell r="AJ409">
            <v>0</v>
          </cell>
          <cell r="AK409" t="e">
            <v>#N/A</v>
          </cell>
          <cell r="AL409" t="e">
            <v>#N/A</v>
          </cell>
          <cell r="AM409">
            <v>0</v>
          </cell>
          <cell r="AN409">
            <v>0</v>
          </cell>
          <cell r="AO409">
            <v>0</v>
          </cell>
        </row>
        <row r="410">
          <cell r="M410" t="e">
            <v>#N/A</v>
          </cell>
          <cell r="O410" t="str">
            <v>BAL</v>
          </cell>
          <cell r="P410">
            <v>0</v>
          </cell>
          <cell r="Q410">
            <v>1</v>
          </cell>
          <cell r="S410" t="str">
            <v>KG</v>
          </cell>
          <cell r="T410" t="e">
            <v>#N/A</v>
          </cell>
          <cell r="U410" t="e">
            <v>#N/A</v>
          </cell>
          <cell r="V410" t="e">
            <v>#N/A</v>
          </cell>
          <cell r="W410" t="str">
            <v>KG</v>
          </cell>
          <cell r="X410">
            <v>0</v>
          </cell>
          <cell r="Y410" t="e">
            <v>#N/A</v>
          </cell>
          <cell r="Z410" t="e">
            <v>#N/A</v>
          </cell>
          <cell r="AA410" t="str">
            <v>KG</v>
          </cell>
          <cell r="AB410" t="e">
            <v>#N/A</v>
          </cell>
          <cell r="AC410" t="e">
            <v>#N/A</v>
          </cell>
          <cell r="AD410" t="e">
            <v>#N/A</v>
          </cell>
          <cell r="AE410" t="e">
            <v>#N/A</v>
          </cell>
          <cell r="AF410" t="e">
            <v>#N/A</v>
          </cell>
          <cell r="AG410" t="e">
            <v>#N/A</v>
          </cell>
          <cell r="AH410" t="e">
            <v>#N/A</v>
          </cell>
          <cell r="AI410">
            <v>0</v>
          </cell>
          <cell r="AJ410">
            <v>0</v>
          </cell>
          <cell r="AK410" t="e">
            <v>#N/A</v>
          </cell>
          <cell r="AL410" t="e">
            <v>#N/A</v>
          </cell>
          <cell r="AM410">
            <v>0</v>
          </cell>
          <cell r="AN410">
            <v>0</v>
          </cell>
          <cell r="AO410">
            <v>0</v>
          </cell>
        </row>
        <row r="411">
          <cell r="M411" t="e">
            <v>#N/A</v>
          </cell>
          <cell r="O411" t="str">
            <v>BAL</v>
          </cell>
          <cell r="P411">
            <v>0</v>
          </cell>
          <cell r="Q411">
            <v>1</v>
          </cell>
          <cell r="S411" t="str">
            <v>KG</v>
          </cell>
          <cell r="T411" t="e">
            <v>#N/A</v>
          </cell>
          <cell r="U411" t="e">
            <v>#N/A</v>
          </cell>
          <cell r="V411" t="e">
            <v>#N/A</v>
          </cell>
          <cell r="W411" t="str">
            <v>KG</v>
          </cell>
          <cell r="X411">
            <v>0</v>
          </cell>
          <cell r="Y411" t="e">
            <v>#N/A</v>
          </cell>
          <cell r="Z411" t="e">
            <v>#N/A</v>
          </cell>
          <cell r="AA411" t="str">
            <v>KG</v>
          </cell>
          <cell r="AB411" t="e">
            <v>#N/A</v>
          </cell>
          <cell r="AC411" t="e">
            <v>#N/A</v>
          </cell>
          <cell r="AD411" t="e">
            <v>#N/A</v>
          </cell>
          <cell r="AE411" t="e">
            <v>#N/A</v>
          </cell>
          <cell r="AF411" t="e">
            <v>#N/A</v>
          </cell>
          <cell r="AG411" t="e">
            <v>#N/A</v>
          </cell>
          <cell r="AH411" t="e">
            <v>#N/A</v>
          </cell>
          <cell r="AI411">
            <v>0</v>
          </cell>
          <cell r="AJ411">
            <v>0</v>
          </cell>
          <cell r="AK411" t="e">
            <v>#N/A</v>
          </cell>
          <cell r="AL411" t="e">
            <v>#N/A</v>
          </cell>
          <cell r="AM411">
            <v>0</v>
          </cell>
          <cell r="AN411">
            <v>0</v>
          </cell>
          <cell r="AO411">
            <v>0</v>
          </cell>
        </row>
        <row r="412">
          <cell r="M412" t="e">
            <v>#N/A</v>
          </cell>
          <cell r="O412" t="str">
            <v>BAL</v>
          </cell>
          <cell r="P412">
            <v>0</v>
          </cell>
          <cell r="Q412">
            <v>1</v>
          </cell>
          <cell r="S412" t="str">
            <v>KG</v>
          </cell>
          <cell r="T412" t="e">
            <v>#N/A</v>
          </cell>
          <cell r="U412" t="e">
            <v>#N/A</v>
          </cell>
          <cell r="V412" t="e">
            <v>#N/A</v>
          </cell>
          <cell r="W412" t="str">
            <v>KG</v>
          </cell>
          <cell r="X412">
            <v>0</v>
          </cell>
          <cell r="Y412" t="e">
            <v>#N/A</v>
          </cell>
          <cell r="Z412" t="e">
            <v>#N/A</v>
          </cell>
          <cell r="AA412" t="str">
            <v>KG</v>
          </cell>
          <cell r="AB412" t="e">
            <v>#N/A</v>
          </cell>
          <cell r="AC412" t="e">
            <v>#N/A</v>
          </cell>
          <cell r="AD412" t="e">
            <v>#N/A</v>
          </cell>
          <cell r="AE412" t="e">
            <v>#N/A</v>
          </cell>
          <cell r="AF412" t="e">
            <v>#N/A</v>
          </cell>
          <cell r="AG412" t="e">
            <v>#N/A</v>
          </cell>
          <cell r="AH412" t="e">
            <v>#N/A</v>
          </cell>
          <cell r="AI412">
            <v>0</v>
          </cell>
          <cell r="AJ412">
            <v>0</v>
          </cell>
          <cell r="AK412" t="e">
            <v>#N/A</v>
          </cell>
          <cell r="AL412" t="e">
            <v>#N/A</v>
          </cell>
          <cell r="AM412">
            <v>0</v>
          </cell>
          <cell r="AN412">
            <v>0</v>
          </cell>
          <cell r="AO412">
            <v>0</v>
          </cell>
        </row>
        <row r="413">
          <cell r="M413" t="e">
            <v>#N/A</v>
          </cell>
          <cell r="O413" t="str">
            <v>BAL</v>
          </cell>
          <cell r="P413">
            <v>0</v>
          </cell>
          <cell r="Q413">
            <v>1</v>
          </cell>
          <cell r="S413" t="str">
            <v>KG</v>
          </cell>
          <cell r="T413" t="e">
            <v>#N/A</v>
          </cell>
          <cell r="U413" t="e">
            <v>#N/A</v>
          </cell>
          <cell r="V413" t="e">
            <v>#N/A</v>
          </cell>
          <cell r="W413" t="str">
            <v>KG</v>
          </cell>
          <cell r="X413">
            <v>0</v>
          </cell>
          <cell r="Y413" t="e">
            <v>#N/A</v>
          </cell>
          <cell r="Z413" t="e">
            <v>#N/A</v>
          </cell>
          <cell r="AA413" t="str">
            <v>KG</v>
          </cell>
          <cell r="AB413" t="e">
            <v>#N/A</v>
          </cell>
          <cell r="AC413" t="e">
            <v>#N/A</v>
          </cell>
          <cell r="AD413" t="e">
            <v>#N/A</v>
          </cell>
          <cell r="AE413" t="e">
            <v>#N/A</v>
          </cell>
          <cell r="AF413" t="e">
            <v>#N/A</v>
          </cell>
          <cell r="AG413" t="e">
            <v>#N/A</v>
          </cell>
          <cell r="AH413" t="e">
            <v>#N/A</v>
          </cell>
          <cell r="AI413">
            <v>0</v>
          </cell>
          <cell r="AJ413">
            <v>0</v>
          </cell>
          <cell r="AK413" t="e">
            <v>#N/A</v>
          </cell>
          <cell r="AL413" t="e">
            <v>#N/A</v>
          </cell>
          <cell r="AM413">
            <v>0</v>
          </cell>
          <cell r="AN413">
            <v>0</v>
          </cell>
          <cell r="AO413">
            <v>0</v>
          </cell>
        </row>
        <row r="414">
          <cell r="M414" t="e">
            <v>#N/A</v>
          </cell>
          <cell r="O414" t="str">
            <v>BAL</v>
          </cell>
          <cell r="P414">
            <v>0</v>
          </cell>
          <cell r="Q414">
            <v>1</v>
          </cell>
          <cell r="S414" t="str">
            <v>KG</v>
          </cell>
          <cell r="T414" t="e">
            <v>#N/A</v>
          </cell>
          <cell r="U414" t="e">
            <v>#N/A</v>
          </cell>
          <cell r="V414" t="e">
            <v>#N/A</v>
          </cell>
          <cell r="W414" t="str">
            <v>KG</v>
          </cell>
          <cell r="X414">
            <v>0</v>
          </cell>
          <cell r="Y414" t="e">
            <v>#N/A</v>
          </cell>
          <cell r="Z414" t="e">
            <v>#N/A</v>
          </cell>
          <cell r="AA414" t="str">
            <v>KG</v>
          </cell>
          <cell r="AB414" t="e">
            <v>#N/A</v>
          </cell>
          <cell r="AC414" t="e">
            <v>#N/A</v>
          </cell>
          <cell r="AD414" t="e">
            <v>#N/A</v>
          </cell>
          <cell r="AE414" t="e">
            <v>#N/A</v>
          </cell>
          <cell r="AF414" t="e">
            <v>#N/A</v>
          </cell>
          <cell r="AG414" t="e">
            <v>#N/A</v>
          </cell>
          <cell r="AH414" t="e">
            <v>#N/A</v>
          </cell>
          <cell r="AI414">
            <v>0</v>
          </cell>
          <cell r="AJ414">
            <v>0</v>
          </cell>
          <cell r="AK414" t="e">
            <v>#N/A</v>
          </cell>
          <cell r="AL414" t="e">
            <v>#N/A</v>
          </cell>
          <cell r="AM414">
            <v>0</v>
          </cell>
          <cell r="AN414">
            <v>0</v>
          </cell>
          <cell r="AO414">
            <v>0</v>
          </cell>
        </row>
        <row r="415">
          <cell r="M415" t="e">
            <v>#N/A</v>
          </cell>
          <cell r="O415" t="str">
            <v>BAL</v>
          </cell>
          <cell r="P415">
            <v>0</v>
          </cell>
          <cell r="Q415">
            <v>1</v>
          </cell>
          <cell r="S415" t="str">
            <v>KG</v>
          </cell>
          <cell r="T415" t="e">
            <v>#N/A</v>
          </cell>
          <cell r="U415" t="e">
            <v>#N/A</v>
          </cell>
          <cell r="V415" t="e">
            <v>#N/A</v>
          </cell>
          <cell r="W415" t="str">
            <v>KG</v>
          </cell>
          <cell r="X415">
            <v>0</v>
          </cell>
          <cell r="Y415" t="e">
            <v>#N/A</v>
          </cell>
          <cell r="Z415" t="e">
            <v>#N/A</v>
          </cell>
          <cell r="AA415" t="str">
            <v>KG</v>
          </cell>
          <cell r="AB415" t="e">
            <v>#N/A</v>
          </cell>
          <cell r="AC415" t="e">
            <v>#N/A</v>
          </cell>
          <cell r="AD415" t="e">
            <v>#N/A</v>
          </cell>
          <cell r="AE415" t="e">
            <v>#N/A</v>
          </cell>
          <cell r="AF415" t="e">
            <v>#N/A</v>
          </cell>
          <cell r="AG415" t="e">
            <v>#N/A</v>
          </cell>
          <cell r="AH415" t="e">
            <v>#N/A</v>
          </cell>
          <cell r="AI415">
            <v>0</v>
          </cell>
          <cell r="AJ415">
            <v>0</v>
          </cell>
          <cell r="AK415" t="e">
            <v>#N/A</v>
          </cell>
          <cell r="AL415" t="e">
            <v>#N/A</v>
          </cell>
          <cell r="AM415">
            <v>0</v>
          </cell>
          <cell r="AN415">
            <v>0</v>
          </cell>
          <cell r="AO415">
            <v>0</v>
          </cell>
        </row>
        <row r="416">
          <cell r="M416" t="e">
            <v>#N/A</v>
          </cell>
          <cell r="O416" t="str">
            <v>BAL</v>
          </cell>
          <cell r="P416">
            <v>0</v>
          </cell>
          <cell r="Q416">
            <v>1</v>
          </cell>
          <cell r="S416" t="str">
            <v>KG</v>
          </cell>
          <cell r="T416" t="e">
            <v>#N/A</v>
          </cell>
          <cell r="U416" t="e">
            <v>#N/A</v>
          </cell>
          <cell r="V416" t="e">
            <v>#N/A</v>
          </cell>
          <cell r="W416" t="str">
            <v>KG</v>
          </cell>
          <cell r="X416">
            <v>0</v>
          </cell>
          <cell r="Y416" t="e">
            <v>#N/A</v>
          </cell>
          <cell r="Z416" t="e">
            <v>#N/A</v>
          </cell>
          <cell r="AA416" t="str">
            <v>KG</v>
          </cell>
          <cell r="AB416" t="e">
            <v>#N/A</v>
          </cell>
          <cell r="AC416" t="e">
            <v>#N/A</v>
          </cell>
          <cell r="AD416" t="e">
            <v>#N/A</v>
          </cell>
          <cell r="AE416" t="e">
            <v>#N/A</v>
          </cell>
          <cell r="AF416" t="e">
            <v>#N/A</v>
          </cell>
          <cell r="AG416" t="e">
            <v>#N/A</v>
          </cell>
          <cell r="AH416" t="e">
            <v>#N/A</v>
          </cell>
          <cell r="AI416">
            <v>0</v>
          </cell>
          <cell r="AJ416">
            <v>0</v>
          </cell>
          <cell r="AK416" t="e">
            <v>#N/A</v>
          </cell>
          <cell r="AL416" t="e">
            <v>#N/A</v>
          </cell>
          <cell r="AM416">
            <v>0</v>
          </cell>
          <cell r="AN416">
            <v>0</v>
          </cell>
          <cell r="AO416">
            <v>0</v>
          </cell>
        </row>
        <row r="417">
          <cell r="M417" t="e">
            <v>#N/A</v>
          </cell>
          <cell r="O417" t="str">
            <v>BAL</v>
          </cell>
          <cell r="P417">
            <v>0</v>
          </cell>
          <cell r="Q417">
            <v>1</v>
          </cell>
          <cell r="S417" t="str">
            <v>KG</v>
          </cell>
          <cell r="T417" t="e">
            <v>#N/A</v>
          </cell>
          <cell r="U417" t="e">
            <v>#N/A</v>
          </cell>
          <cell r="V417" t="e">
            <v>#N/A</v>
          </cell>
          <cell r="W417" t="str">
            <v>KG</v>
          </cell>
          <cell r="X417">
            <v>0</v>
          </cell>
          <cell r="Y417" t="e">
            <v>#N/A</v>
          </cell>
          <cell r="Z417" t="e">
            <v>#N/A</v>
          </cell>
          <cell r="AA417" t="str">
            <v>KG</v>
          </cell>
          <cell r="AB417" t="e">
            <v>#N/A</v>
          </cell>
          <cell r="AC417" t="e">
            <v>#N/A</v>
          </cell>
          <cell r="AD417" t="e">
            <v>#N/A</v>
          </cell>
          <cell r="AE417" t="e">
            <v>#N/A</v>
          </cell>
          <cell r="AF417" t="e">
            <v>#N/A</v>
          </cell>
          <cell r="AG417" t="e">
            <v>#N/A</v>
          </cell>
          <cell r="AH417" t="e">
            <v>#N/A</v>
          </cell>
          <cell r="AI417">
            <v>0</v>
          </cell>
          <cell r="AJ417">
            <v>0</v>
          </cell>
          <cell r="AK417" t="e">
            <v>#N/A</v>
          </cell>
          <cell r="AL417" t="e">
            <v>#N/A</v>
          </cell>
          <cell r="AM417">
            <v>0</v>
          </cell>
          <cell r="AN417">
            <v>0</v>
          </cell>
          <cell r="AO417">
            <v>0</v>
          </cell>
        </row>
        <row r="418">
          <cell r="M418" t="e">
            <v>#N/A</v>
          </cell>
          <cell r="O418" t="str">
            <v>BAL</v>
          </cell>
          <cell r="P418">
            <v>0</v>
          </cell>
          <cell r="Q418">
            <v>1</v>
          </cell>
          <cell r="S418" t="str">
            <v>KG</v>
          </cell>
          <cell r="T418" t="e">
            <v>#N/A</v>
          </cell>
          <cell r="U418" t="e">
            <v>#N/A</v>
          </cell>
          <cell r="V418" t="e">
            <v>#N/A</v>
          </cell>
          <cell r="W418" t="str">
            <v>KG</v>
          </cell>
          <cell r="X418">
            <v>0</v>
          </cell>
          <cell r="Y418" t="e">
            <v>#N/A</v>
          </cell>
          <cell r="Z418" t="e">
            <v>#N/A</v>
          </cell>
          <cell r="AA418" t="str">
            <v>KG</v>
          </cell>
          <cell r="AB418" t="e">
            <v>#N/A</v>
          </cell>
          <cell r="AC418" t="e">
            <v>#N/A</v>
          </cell>
          <cell r="AD418" t="e">
            <v>#N/A</v>
          </cell>
          <cell r="AE418" t="e">
            <v>#N/A</v>
          </cell>
          <cell r="AF418" t="e">
            <v>#N/A</v>
          </cell>
          <cell r="AG418" t="e">
            <v>#N/A</v>
          </cell>
          <cell r="AH418" t="e">
            <v>#N/A</v>
          </cell>
          <cell r="AI418">
            <v>0</v>
          </cell>
          <cell r="AJ418">
            <v>0</v>
          </cell>
          <cell r="AK418" t="e">
            <v>#N/A</v>
          </cell>
          <cell r="AL418" t="e">
            <v>#N/A</v>
          </cell>
          <cell r="AM418">
            <v>0</v>
          </cell>
          <cell r="AN418">
            <v>0</v>
          </cell>
          <cell r="AO418">
            <v>0</v>
          </cell>
        </row>
        <row r="419">
          <cell r="M419" t="e">
            <v>#N/A</v>
          </cell>
          <cell r="O419" t="str">
            <v>BAL</v>
          </cell>
          <cell r="P419">
            <v>0</v>
          </cell>
          <cell r="Q419">
            <v>1</v>
          </cell>
          <cell r="S419" t="str">
            <v>KG</v>
          </cell>
          <cell r="T419" t="e">
            <v>#N/A</v>
          </cell>
          <cell r="U419" t="e">
            <v>#N/A</v>
          </cell>
          <cell r="V419" t="e">
            <v>#N/A</v>
          </cell>
          <cell r="W419" t="str">
            <v>KG</v>
          </cell>
          <cell r="X419">
            <v>0</v>
          </cell>
          <cell r="Y419" t="e">
            <v>#N/A</v>
          </cell>
          <cell r="Z419" t="e">
            <v>#N/A</v>
          </cell>
          <cell r="AA419" t="str">
            <v>KG</v>
          </cell>
          <cell r="AB419" t="e">
            <v>#N/A</v>
          </cell>
          <cell r="AC419" t="e">
            <v>#N/A</v>
          </cell>
          <cell r="AD419" t="e">
            <v>#N/A</v>
          </cell>
          <cell r="AE419" t="e">
            <v>#N/A</v>
          </cell>
          <cell r="AF419" t="e">
            <v>#N/A</v>
          </cell>
          <cell r="AG419" t="e">
            <v>#N/A</v>
          </cell>
          <cell r="AH419" t="e">
            <v>#N/A</v>
          </cell>
          <cell r="AI419">
            <v>0</v>
          </cell>
          <cell r="AJ419">
            <v>0</v>
          </cell>
          <cell r="AK419" t="e">
            <v>#N/A</v>
          </cell>
          <cell r="AL419" t="e">
            <v>#N/A</v>
          </cell>
          <cell r="AM419">
            <v>0</v>
          </cell>
          <cell r="AN419">
            <v>0</v>
          </cell>
          <cell r="AO419">
            <v>0</v>
          </cell>
        </row>
        <row r="420">
          <cell r="M420" t="e">
            <v>#N/A</v>
          </cell>
          <cell r="O420" t="str">
            <v>BAL</v>
          </cell>
          <cell r="P420">
            <v>0</v>
          </cell>
          <cell r="Q420">
            <v>1</v>
          </cell>
          <cell r="S420" t="str">
            <v>KG</v>
          </cell>
          <cell r="T420" t="e">
            <v>#N/A</v>
          </cell>
          <cell r="U420" t="e">
            <v>#N/A</v>
          </cell>
          <cell r="V420" t="e">
            <v>#N/A</v>
          </cell>
          <cell r="W420" t="str">
            <v>KG</v>
          </cell>
          <cell r="X420">
            <v>0</v>
          </cell>
          <cell r="Y420" t="e">
            <v>#N/A</v>
          </cell>
          <cell r="Z420" t="e">
            <v>#N/A</v>
          </cell>
          <cell r="AA420" t="str">
            <v>KG</v>
          </cell>
          <cell r="AB420" t="e">
            <v>#N/A</v>
          </cell>
          <cell r="AC420" t="e">
            <v>#N/A</v>
          </cell>
          <cell r="AD420" t="e">
            <v>#N/A</v>
          </cell>
          <cell r="AE420" t="e">
            <v>#N/A</v>
          </cell>
          <cell r="AF420" t="e">
            <v>#N/A</v>
          </cell>
          <cell r="AG420" t="e">
            <v>#N/A</v>
          </cell>
          <cell r="AH420" t="e">
            <v>#N/A</v>
          </cell>
          <cell r="AI420">
            <v>0</v>
          </cell>
          <cell r="AJ420">
            <v>0</v>
          </cell>
          <cell r="AK420" t="e">
            <v>#N/A</v>
          </cell>
          <cell r="AL420" t="e">
            <v>#N/A</v>
          </cell>
          <cell r="AM420">
            <v>0</v>
          </cell>
          <cell r="AN420">
            <v>0</v>
          </cell>
          <cell r="AO420">
            <v>0</v>
          </cell>
        </row>
        <row r="421">
          <cell r="M421" t="e">
            <v>#N/A</v>
          </cell>
          <cell r="O421" t="str">
            <v>BAL</v>
          </cell>
          <cell r="P421">
            <v>0</v>
          </cell>
          <cell r="Q421">
            <v>1</v>
          </cell>
          <cell r="S421" t="str">
            <v>KG</v>
          </cell>
          <cell r="T421" t="e">
            <v>#N/A</v>
          </cell>
          <cell r="U421" t="e">
            <v>#N/A</v>
          </cell>
          <cell r="V421" t="e">
            <v>#N/A</v>
          </cell>
          <cell r="W421" t="str">
            <v>KG</v>
          </cell>
          <cell r="X421">
            <v>0</v>
          </cell>
          <cell r="Y421" t="e">
            <v>#N/A</v>
          </cell>
          <cell r="Z421" t="e">
            <v>#N/A</v>
          </cell>
          <cell r="AA421" t="str">
            <v>KG</v>
          </cell>
          <cell r="AB421" t="e">
            <v>#N/A</v>
          </cell>
          <cell r="AC421" t="e">
            <v>#N/A</v>
          </cell>
          <cell r="AD421" t="e">
            <v>#N/A</v>
          </cell>
          <cell r="AE421" t="e">
            <v>#N/A</v>
          </cell>
          <cell r="AF421" t="e">
            <v>#N/A</v>
          </cell>
          <cell r="AG421" t="e">
            <v>#N/A</v>
          </cell>
          <cell r="AH421" t="e">
            <v>#N/A</v>
          </cell>
          <cell r="AI421">
            <v>0</v>
          </cell>
          <cell r="AJ421">
            <v>0</v>
          </cell>
          <cell r="AK421" t="e">
            <v>#N/A</v>
          </cell>
          <cell r="AL421" t="e">
            <v>#N/A</v>
          </cell>
          <cell r="AM421">
            <v>0</v>
          </cell>
          <cell r="AN421">
            <v>0</v>
          </cell>
          <cell r="AO421">
            <v>0</v>
          </cell>
        </row>
        <row r="422">
          <cell r="M422" t="e">
            <v>#N/A</v>
          </cell>
          <cell r="O422" t="str">
            <v>BAL</v>
          </cell>
          <cell r="P422">
            <v>0</v>
          </cell>
          <cell r="Q422">
            <v>1</v>
          </cell>
          <cell r="S422" t="str">
            <v>KG</v>
          </cell>
          <cell r="T422" t="e">
            <v>#N/A</v>
          </cell>
          <cell r="U422" t="e">
            <v>#N/A</v>
          </cell>
          <cell r="V422" t="e">
            <v>#N/A</v>
          </cell>
          <cell r="W422" t="str">
            <v>KG</v>
          </cell>
          <cell r="X422">
            <v>0</v>
          </cell>
          <cell r="Y422" t="e">
            <v>#N/A</v>
          </cell>
          <cell r="Z422" t="e">
            <v>#N/A</v>
          </cell>
          <cell r="AA422" t="str">
            <v>KG</v>
          </cell>
          <cell r="AB422" t="e">
            <v>#N/A</v>
          </cell>
          <cell r="AC422" t="e">
            <v>#N/A</v>
          </cell>
          <cell r="AD422" t="e">
            <v>#N/A</v>
          </cell>
          <cell r="AE422" t="e">
            <v>#N/A</v>
          </cell>
          <cell r="AF422" t="e">
            <v>#N/A</v>
          </cell>
          <cell r="AG422" t="e">
            <v>#N/A</v>
          </cell>
          <cell r="AH422" t="e">
            <v>#N/A</v>
          </cell>
          <cell r="AI422">
            <v>0</v>
          </cell>
          <cell r="AJ422">
            <v>0</v>
          </cell>
          <cell r="AK422" t="e">
            <v>#N/A</v>
          </cell>
          <cell r="AL422" t="e">
            <v>#N/A</v>
          </cell>
          <cell r="AM422">
            <v>0</v>
          </cell>
          <cell r="AN422">
            <v>0</v>
          </cell>
          <cell r="AO422">
            <v>0</v>
          </cell>
        </row>
        <row r="423">
          <cell r="M423" t="e">
            <v>#N/A</v>
          </cell>
          <cell r="O423" t="str">
            <v>BAL</v>
          </cell>
          <cell r="P423">
            <v>0</v>
          </cell>
          <cell r="Q423">
            <v>1</v>
          </cell>
          <cell r="S423" t="str">
            <v>KG</v>
          </cell>
          <cell r="T423" t="e">
            <v>#N/A</v>
          </cell>
          <cell r="U423" t="e">
            <v>#N/A</v>
          </cell>
          <cell r="V423" t="e">
            <v>#N/A</v>
          </cell>
          <cell r="W423" t="str">
            <v>KG</v>
          </cell>
          <cell r="X423">
            <v>0</v>
          </cell>
          <cell r="Y423" t="e">
            <v>#N/A</v>
          </cell>
          <cell r="Z423" t="e">
            <v>#N/A</v>
          </cell>
          <cell r="AA423" t="str">
            <v>KG</v>
          </cell>
          <cell r="AB423" t="e">
            <v>#N/A</v>
          </cell>
          <cell r="AC423" t="e">
            <v>#N/A</v>
          </cell>
          <cell r="AD423" t="e">
            <v>#N/A</v>
          </cell>
          <cell r="AE423" t="e">
            <v>#N/A</v>
          </cell>
          <cell r="AF423" t="e">
            <v>#N/A</v>
          </cell>
          <cell r="AG423" t="e">
            <v>#N/A</v>
          </cell>
          <cell r="AH423" t="e">
            <v>#N/A</v>
          </cell>
          <cell r="AI423">
            <v>0</v>
          </cell>
          <cell r="AJ423">
            <v>0</v>
          </cell>
          <cell r="AK423" t="e">
            <v>#N/A</v>
          </cell>
          <cell r="AL423" t="e">
            <v>#N/A</v>
          </cell>
          <cell r="AM423">
            <v>0</v>
          </cell>
          <cell r="AN423">
            <v>0</v>
          </cell>
          <cell r="AO423">
            <v>0</v>
          </cell>
        </row>
        <row r="424">
          <cell r="M424" t="e">
            <v>#N/A</v>
          </cell>
          <cell r="O424" t="str">
            <v>BAL</v>
          </cell>
          <cell r="P424">
            <v>0</v>
          </cell>
          <cell r="Q424">
            <v>1</v>
          </cell>
          <cell r="S424" t="str">
            <v>KG</v>
          </cell>
          <cell r="T424" t="e">
            <v>#N/A</v>
          </cell>
          <cell r="U424" t="e">
            <v>#N/A</v>
          </cell>
          <cell r="V424" t="e">
            <v>#N/A</v>
          </cell>
          <cell r="W424" t="str">
            <v>KG</v>
          </cell>
          <cell r="X424">
            <v>0</v>
          </cell>
          <cell r="Y424" t="e">
            <v>#N/A</v>
          </cell>
          <cell r="Z424" t="e">
            <v>#N/A</v>
          </cell>
          <cell r="AA424" t="str">
            <v>KG</v>
          </cell>
          <cell r="AB424" t="e">
            <v>#N/A</v>
          </cell>
          <cell r="AC424" t="e">
            <v>#N/A</v>
          </cell>
          <cell r="AD424" t="e">
            <v>#N/A</v>
          </cell>
          <cell r="AE424" t="e">
            <v>#N/A</v>
          </cell>
          <cell r="AF424" t="e">
            <v>#N/A</v>
          </cell>
          <cell r="AG424" t="e">
            <v>#N/A</v>
          </cell>
          <cell r="AH424" t="e">
            <v>#N/A</v>
          </cell>
          <cell r="AI424">
            <v>0</v>
          </cell>
          <cell r="AJ424">
            <v>0</v>
          </cell>
          <cell r="AK424" t="e">
            <v>#N/A</v>
          </cell>
          <cell r="AL424" t="e">
            <v>#N/A</v>
          </cell>
          <cell r="AM424">
            <v>0</v>
          </cell>
          <cell r="AN424">
            <v>0</v>
          </cell>
          <cell r="AO424">
            <v>0</v>
          </cell>
        </row>
        <row r="425">
          <cell r="M425" t="e">
            <v>#N/A</v>
          </cell>
          <cell r="O425" t="str">
            <v>BAL</v>
          </cell>
          <cell r="P425">
            <v>0</v>
          </cell>
          <cell r="Q425">
            <v>1</v>
          </cell>
          <cell r="S425" t="str">
            <v>KG</v>
          </cell>
          <cell r="T425" t="e">
            <v>#N/A</v>
          </cell>
          <cell r="U425" t="e">
            <v>#N/A</v>
          </cell>
          <cell r="V425" t="e">
            <v>#N/A</v>
          </cell>
          <cell r="W425" t="str">
            <v>KG</v>
          </cell>
          <cell r="X425">
            <v>0</v>
          </cell>
          <cell r="Y425" t="e">
            <v>#N/A</v>
          </cell>
          <cell r="Z425" t="e">
            <v>#N/A</v>
          </cell>
          <cell r="AA425" t="str">
            <v>KG</v>
          </cell>
          <cell r="AB425" t="e">
            <v>#N/A</v>
          </cell>
          <cell r="AC425" t="e">
            <v>#N/A</v>
          </cell>
          <cell r="AD425" t="e">
            <v>#N/A</v>
          </cell>
          <cell r="AE425" t="e">
            <v>#N/A</v>
          </cell>
          <cell r="AF425" t="e">
            <v>#N/A</v>
          </cell>
          <cell r="AG425" t="e">
            <v>#N/A</v>
          </cell>
          <cell r="AH425" t="e">
            <v>#N/A</v>
          </cell>
          <cell r="AI425">
            <v>0</v>
          </cell>
          <cell r="AJ425">
            <v>0</v>
          </cell>
          <cell r="AK425" t="e">
            <v>#N/A</v>
          </cell>
          <cell r="AL425" t="e">
            <v>#N/A</v>
          </cell>
          <cell r="AM425">
            <v>0</v>
          </cell>
          <cell r="AN425">
            <v>0</v>
          </cell>
          <cell r="AO425">
            <v>0</v>
          </cell>
        </row>
        <row r="426">
          <cell r="M426" t="e">
            <v>#N/A</v>
          </cell>
          <cell r="O426" t="str">
            <v>BAL</v>
          </cell>
          <cell r="P426">
            <v>0</v>
          </cell>
          <cell r="Q426">
            <v>1</v>
          </cell>
          <cell r="S426" t="str">
            <v>KG</v>
          </cell>
          <cell r="T426" t="e">
            <v>#N/A</v>
          </cell>
          <cell r="U426" t="e">
            <v>#N/A</v>
          </cell>
          <cell r="V426" t="e">
            <v>#N/A</v>
          </cell>
          <cell r="W426" t="str">
            <v>KG</v>
          </cell>
          <cell r="X426">
            <v>0</v>
          </cell>
          <cell r="Y426" t="e">
            <v>#N/A</v>
          </cell>
          <cell r="Z426" t="e">
            <v>#N/A</v>
          </cell>
          <cell r="AA426" t="str">
            <v>KG</v>
          </cell>
          <cell r="AB426" t="e">
            <v>#N/A</v>
          </cell>
          <cell r="AC426" t="e">
            <v>#N/A</v>
          </cell>
          <cell r="AD426" t="e">
            <v>#N/A</v>
          </cell>
          <cell r="AE426" t="e">
            <v>#N/A</v>
          </cell>
          <cell r="AF426" t="e">
            <v>#N/A</v>
          </cell>
          <cell r="AG426" t="e">
            <v>#N/A</v>
          </cell>
          <cell r="AH426" t="e">
            <v>#N/A</v>
          </cell>
          <cell r="AI426">
            <v>0</v>
          </cell>
          <cell r="AJ426">
            <v>0</v>
          </cell>
          <cell r="AK426" t="e">
            <v>#N/A</v>
          </cell>
          <cell r="AL426" t="e">
            <v>#N/A</v>
          </cell>
          <cell r="AM426">
            <v>0</v>
          </cell>
          <cell r="AN426">
            <v>0</v>
          </cell>
          <cell r="AO426">
            <v>0</v>
          </cell>
        </row>
        <row r="427">
          <cell r="M427" t="e">
            <v>#N/A</v>
          </cell>
          <cell r="O427" t="str">
            <v>BAL</v>
          </cell>
          <cell r="P427">
            <v>0</v>
          </cell>
          <cell r="Q427">
            <v>1</v>
          </cell>
          <cell r="S427" t="str">
            <v>KG</v>
          </cell>
          <cell r="T427" t="e">
            <v>#N/A</v>
          </cell>
          <cell r="U427" t="e">
            <v>#N/A</v>
          </cell>
          <cell r="V427" t="e">
            <v>#N/A</v>
          </cell>
          <cell r="W427" t="str">
            <v>KG</v>
          </cell>
          <cell r="X427">
            <v>0</v>
          </cell>
          <cell r="Y427" t="e">
            <v>#N/A</v>
          </cell>
          <cell r="Z427" t="e">
            <v>#N/A</v>
          </cell>
          <cell r="AA427" t="str">
            <v>KG</v>
          </cell>
          <cell r="AB427" t="e">
            <v>#N/A</v>
          </cell>
          <cell r="AC427" t="e">
            <v>#N/A</v>
          </cell>
          <cell r="AD427" t="e">
            <v>#N/A</v>
          </cell>
          <cell r="AE427" t="e">
            <v>#N/A</v>
          </cell>
          <cell r="AF427" t="e">
            <v>#N/A</v>
          </cell>
          <cell r="AG427" t="e">
            <v>#N/A</v>
          </cell>
          <cell r="AH427" t="e">
            <v>#N/A</v>
          </cell>
          <cell r="AI427">
            <v>0</v>
          </cell>
          <cell r="AJ427">
            <v>0</v>
          </cell>
          <cell r="AK427" t="e">
            <v>#N/A</v>
          </cell>
          <cell r="AL427" t="e">
            <v>#N/A</v>
          </cell>
          <cell r="AM427">
            <v>0</v>
          </cell>
          <cell r="AN427">
            <v>0</v>
          </cell>
          <cell r="AO427">
            <v>0</v>
          </cell>
        </row>
        <row r="428">
          <cell r="M428" t="e">
            <v>#N/A</v>
          </cell>
          <cell r="O428" t="str">
            <v>BAL</v>
          </cell>
          <cell r="P428">
            <v>0</v>
          </cell>
          <cell r="Q428">
            <v>1</v>
          </cell>
          <cell r="S428" t="str">
            <v>KG</v>
          </cell>
          <cell r="T428" t="e">
            <v>#N/A</v>
          </cell>
          <cell r="U428" t="e">
            <v>#N/A</v>
          </cell>
          <cell r="V428" t="e">
            <v>#N/A</v>
          </cell>
          <cell r="W428" t="str">
            <v>KG</v>
          </cell>
          <cell r="X428">
            <v>0</v>
          </cell>
          <cell r="Y428" t="e">
            <v>#N/A</v>
          </cell>
          <cell r="Z428" t="e">
            <v>#N/A</v>
          </cell>
          <cell r="AA428" t="str">
            <v>KG</v>
          </cell>
          <cell r="AB428" t="e">
            <v>#N/A</v>
          </cell>
          <cell r="AC428" t="e">
            <v>#N/A</v>
          </cell>
          <cell r="AD428" t="e">
            <v>#N/A</v>
          </cell>
          <cell r="AE428" t="e">
            <v>#N/A</v>
          </cell>
          <cell r="AF428" t="e">
            <v>#N/A</v>
          </cell>
          <cell r="AG428" t="e">
            <v>#N/A</v>
          </cell>
          <cell r="AH428" t="e">
            <v>#N/A</v>
          </cell>
          <cell r="AI428">
            <v>0</v>
          </cell>
          <cell r="AJ428">
            <v>0</v>
          </cell>
          <cell r="AK428" t="e">
            <v>#N/A</v>
          </cell>
          <cell r="AL428" t="e">
            <v>#N/A</v>
          </cell>
          <cell r="AM428">
            <v>0</v>
          </cell>
          <cell r="AN428">
            <v>0</v>
          </cell>
          <cell r="AO428">
            <v>0</v>
          </cell>
        </row>
        <row r="429">
          <cell r="M429" t="e">
            <v>#N/A</v>
          </cell>
          <cell r="O429" t="str">
            <v>BAL</v>
          </cell>
          <cell r="P429">
            <v>0</v>
          </cell>
          <cell r="Q429">
            <v>1</v>
          </cell>
          <cell r="S429" t="str">
            <v>KG</v>
          </cell>
          <cell r="T429" t="e">
            <v>#N/A</v>
          </cell>
          <cell r="U429" t="e">
            <v>#N/A</v>
          </cell>
          <cell r="V429" t="e">
            <v>#N/A</v>
          </cell>
          <cell r="W429" t="str">
            <v>KG</v>
          </cell>
          <cell r="X429">
            <v>0</v>
          </cell>
          <cell r="Y429" t="e">
            <v>#N/A</v>
          </cell>
          <cell r="Z429" t="e">
            <v>#N/A</v>
          </cell>
          <cell r="AA429" t="str">
            <v>KG</v>
          </cell>
          <cell r="AB429" t="e">
            <v>#N/A</v>
          </cell>
          <cell r="AC429" t="e">
            <v>#N/A</v>
          </cell>
          <cell r="AD429" t="e">
            <v>#N/A</v>
          </cell>
          <cell r="AE429" t="e">
            <v>#N/A</v>
          </cell>
          <cell r="AF429" t="e">
            <v>#N/A</v>
          </cell>
          <cell r="AG429" t="e">
            <v>#N/A</v>
          </cell>
          <cell r="AH429" t="e">
            <v>#N/A</v>
          </cell>
          <cell r="AI429">
            <v>0</v>
          </cell>
          <cell r="AJ429">
            <v>0</v>
          </cell>
          <cell r="AK429" t="e">
            <v>#N/A</v>
          </cell>
          <cell r="AL429" t="e">
            <v>#N/A</v>
          </cell>
          <cell r="AM429">
            <v>0</v>
          </cell>
          <cell r="AN429">
            <v>0</v>
          </cell>
          <cell r="AO429">
            <v>0</v>
          </cell>
        </row>
        <row r="430">
          <cell r="M430" t="e">
            <v>#N/A</v>
          </cell>
          <cell r="O430" t="str">
            <v>BAL</v>
          </cell>
          <cell r="P430">
            <v>0</v>
          </cell>
          <cell r="Q430">
            <v>1</v>
          </cell>
          <cell r="S430" t="str">
            <v>KG</v>
          </cell>
          <cell r="T430" t="e">
            <v>#N/A</v>
          </cell>
          <cell r="U430" t="e">
            <v>#N/A</v>
          </cell>
          <cell r="V430" t="e">
            <v>#N/A</v>
          </cell>
          <cell r="W430" t="str">
            <v>KG</v>
          </cell>
          <cell r="X430">
            <v>0</v>
          </cell>
          <cell r="Y430" t="e">
            <v>#N/A</v>
          </cell>
          <cell r="Z430" t="e">
            <v>#N/A</v>
          </cell>
          <cell r="AA430" t="str">
            <v>KG</v>
          </cell>
          <cell r="AB430" t="e">
            <v>#N/A</v>
          </cell>
          <cell r="AC430" t="e">
            <v>#N/A</v>
          </cell>
          <cell r="AD430" t="e">
            <v>#N/A</v>
          </cell>
          <cell r="AE430" t="e">
            <v>#N/A</v>
          </cell>
          <cell r="AF430" t="e">
            <v>#N/A</v>
          </cell>
          <cell r="AG430" t="e">
            <v>#N/A</v>
          </cell>
          <cell r="AH430" t="e">
            <v>#N/A</v>
          </cell>
          <cell r="AI430">
            <v>0</v>
          </cell>
          <cell r="AJ430">
            <v>0</v>
          </cell>
          <cell r="AK430" t="e">
            <v>#N/A</v>
          </cell>
          <cell r="AL430" t="e">
            <v>#N/A</v>
          </cell>
          <cell r="AM430">
            <v>0</v>
          </cell>
          <cell r="AN430">
            <v>0</v>
          </cell>
          <cell r="AO430">
            <v>0</v>
          </cell>
        </row>
        <row r="431">
          <cell r="M431" t="e">
            <v>#N/A</v>
          </cell>
          <cell r="O431" t="str">
            <v>BAL</v>
          </cell>
          <cell r="P431">
            <v>0</v>
          </cell>
          <cell r="Q431">
            <v>1</v>
          </cell>
          <cell r="S431" t="str">
            <v>KG</v>
          </cell>
          <cell r="T431" t="e">
            <v>#N/A</v>
          </cell>
          <cell r="U431" t="e">
            <v>#N/A</v>
          </cell>
          <cell r="V431" t="e">
            <v>#N/A</v>
          </cell>
          <cell r="W431" t="str">
            <v>KG</v>
          </cell>
          <cell r="X431">
            <v>0</v>
          </cell>
          <cell r="Y431" t="e">
            <v>#N/A</v>
          </cell>
          <cell r="Z431" t="e">
            <v>#N/A</v>
          </cell>
          <cell r="AA431" t="str">
            <v>KG</v>
          </cell>
          <cell r="AB431" t="e">
            <v>#N/A</v>
          </cell>
          <cell r="AC431" t="e">
            <v>#N/A</v>
          </cell>
          <cell r="AD431" t="e">
            <v>#N/A</v>
          </cell>
          <cell r="AE431" t="e">
            <v>#N/A</v>
          </cell>
          <cell r="AF431" t="e">
            <v>#N/A</v>
          </cell>
          <cell r="AG431" t="e">
            <v>#N/A</v>
          </cell>
          <cell r="AH431" t="e">
            <v>#N/A</v>
          </cell>
          <cell r="AI431">
            <v>0</v>
          </cell>
          <cell r="AJ431">
            <v>0</v>
          </cell>
          <cell r="AK431" t="e">
            <v>#N/A</v>
          </cell>
          <cell r="AL431" t="e">
            <v>#N/A</v>
          </cell>
          <cell r="AM431">
            <v>0</v>
          </cell>
          <cell r="AN431">
            <v>0</v>
          </cell>
          <cell r="AO431">
            <v>0</v>
          </cell>
        </row>
        <row r="432">
          <cell r="M432" t="e">
            <v>#N/A</v>
          </cell>
          <cell r="O432" t="str">
            <v>BAL</v>
          </cell>
          <cell r="P432">
            <v>0</v>
          </cell>
          <cell r="Q432">
            <v>1</v>
          </cell>
          <cell r="S432" t="str">
            <v>KG</v>
          </cell>
          <cell r="T432" t="e">
            <v>#N/A</v>
          </cell>
          <cell r="U432" t="e">
            <v>#N/A</v>
          </cell>
          <cell r="V432" t="e">
            <v>#N/A</v>
          </cell>
          <cell r="W432" t="str">
            <v>KG</v>
          </cell>
          <cell r="X432">
            <v>0</v>
          </cell>
          <cell r="Y432" t="e">
            <v>#N/A</v>
          </cell>
          <cell r="Z432" t="e">
            <v>#N/A</v>
          </cell>
          <cell r="AA432" t="str">
            <v>KG</v>
          </cell>
          <cell r="AB432" t="e">
            <v>#N/A</v>
          </cell>
          <cell r="AC432" t="e">
            <v>#N/A</v>
          </cell>
          <cell r="AD432" t="e">
            <v>#N/A</v>
          </cell>
          <cell r="AE432" t="e">
            <v>#N/A</v>
          </cell>
          <cell r="AF432" t="e">
            <v>#N/A</v>
          </cell>
          <cell r="AG432" t="e">
            <v>#N/A</v>
          </cell>
          <cell r="AH432" t="e">
            <v>#N/A</v>
          </cell>
          <cell r="AI432">
            <v>0</v>
          </cell>
          <cell r="AJ432">
            <v>0</v>
          </cell>
          <cell r="AK432" t="e">
            <v>#N/A</v>
          </cell>
          <cell r="AL432" t="e">
            <v>#N/A</v>
          </cell>
          <cell r="AM432">
            <v>0</v>
          </cell>
          <cell r="AN432">
            <v>0</v>
          </cell>
          <cell r="AO432">
            <v>0</v>
          </cell>
        </row>
        <row r="433">
          <cell r="M433" t="e">
            <v>#N/A</v>
          </cell>
          <cell r="O433" t="str">
            <v>BAL</v>
          </cell>
          <cell r="P433">
            <v>0</v>
          </cell>
          <cell r="Q433">
            <v>1</v>
          </cell>
          <cell r="S433" t="str">
            <v>KG</v>
          </cell>
          <cell r="T433" t="e">
            <v>#N/A</v>
          </cell>
          <cell r="U433" t="e">
            <v>#N/A</v>
          </cell>
          <cell r="V433" t="e">
            <v>#N/A</v>
          </cell>
          <cell r="W433" t="str">
            <v>KG</v>
          </cell>
          <cell r="X433">
            <v>0</v>
          </cell>
          <cell r="Y433" t="e">
            <v>#N/A</v>
          </cell>
          <cell r="Z433" t="e">
            <v>#N/A</v>
          </cell>
          <cell r="AA433" t="str">
            <v>KG</v>
          </cell>
          <cell r="AB433" t="e">
            <v>#N/A</v>
          </cell>
          <cell r="AC433" t="e">
            <v>#N/A</v>
          </cell>
          <cell r="AD433" t="e">
            <v>#N/A</v>
          </cell>
          <cell r="AE433" t="e">
            <v>#N/A</v>
          </cell>
          <cell r="AF433" t="e">
            <v>#N/A</v>
          </cell>
          <cell r="AG433" t="e">
            <v>#N/A</v>
          </cell>
          <cell r="AH433" t="e">
            <v>#N/A</v>
          </cell>
          <cell r="AI433">
            <v>0</v>
          </cell>
          <cell r="AJ433">
            <v>0</v>
          </cell>
          <cell r="AK433" t="e">
            <v>#N/A</v>
          </cell>
          <cell r="AL433" t="e">
            <v>#N/A</v>
          </cell>
          <cell r="AM433">
            <v>0</v>
          </cell>
          <cell r="AN433">
            <v>0</v>
          </cell>
          <cell r="AO433">
            <v>0</v>
          </cell>
        </row>
        <row r="434">
          <cell r="L434" t="str">
            <v>x</v>
          </cell>
          <cell r="M434" t="str">
            <v>x</v>
          </cell>
        </row>
        <row r="435">
          <cell r="L435" t="str">
            <v>x</v>
          </cell>
          <cell r="M435" t="str">
            <v>x</v>
          </cell>
        </row>
        <row r="436">
          <cell r="K436" t="str">
            <v>SO24-1896</v>
          </cell>
          <cell r="L436" t="str">
            <v>CREAM FLIPS ORANGE 38.5g</v>
          </cell>
          <cell r="M436" t="str">
            <v>C24-1864</v>
          </cell>
          <cell r="O436" t="str">
            <v>COMPLETED</v>
          </cell>
          <cell r="P436">
            <v>1000</v>
          </cell>
          <cell r="Q436">
            <v>1</v>
          </cell>
          <cell r="R436">
            <v>1000</v>
          </cell>
          <cell r="S436" t="str">
            <v>KG</v>
          </cell>
          <cell r="T436">
            <v>333.74301675977659</v>
          </cell>
          <cell r="U436">
            <v>29.660772907907624</v>
          </cell>
          <cell r="V436" t="e">
            <v>#N/A</v>
          </cell>
          <cell r="W436" t="str">
            <v>KG</v>
          </cell>
          <cell r="X436">
            <v>346</v>
          </cell>
          <cell r="Y436">
            <v>30.750088873089226</v>
          </cell>
          <cell r="Z436">
            <v>0</v>
          </cell>
          <cell r="AA436" t="str">
            <v>KG</v>
          </cell>
          <cell r="AB436">
            <v>0</v>
          </cell>
          <cell r="AC436">
            <v>-12.256983240223406</v>
          </cell>
          <cell r="AD436">
            <v>-1.0893159651816036</v>
          </cell>
          <cell r="AE436" t="e">
            <v>#N/A</v>
          </cell>
          <cell r="AF436">
            <v>0</v>
          </cell>
          <cell r="AG436" t="e">
            <v>#N/A</v>
          </cell>
          <cell r="AH436" t="e">
            <v>#N/A</v>
          </cell>
          <cell r="AI436">
            <v>346</v>
          </cell>
          <cell r="AJ436">
            <v>0</v>
          </cell>
          <cell r="AK436" t="str">
            <v>Extrusion</v>
          </cell>
          <cell r="AL436">
            <v>999.10000000000025</v>
          </cell>
          <cell r="AM436">
            <v>1076</v>
          </cell>
          <cell r="AN436">
            <v>1076</v>
          </cell>
          <cell r="AO436">
            <v>0</v>
          </cell>
        </row>
        <row r="437">
          <cell r="K437" t="str">
            <v>SO24-1897</v>
          </cell>
          <cell r="L437" t="str">
            <v>CREAM FLIPS MILK 38.5g</v>
          </cell>
          <cell r="M437" t="str">
            <v>C24-1865</v>
          </cell>
          <cell r="O437" t="str">
            <v>COMPLETED</v>
          </cell>
          <cell r="P437">
            <v>1500</v>
          </cell>
          <cell r="Q437">
            <v>1</v>
          </cell>
          <cell r="R437">
            <v>1500</v>
          </cell>
          <cell r="S437" t="str">
            <v>KG</v>
          </cell>
          <cell r="T437">
            <v>500.61452513966492</v>
          </cell>
          <cell r="U437">
            <v>44.491159361861435</v>
          </cell>
          <cell r="V437" t="e">
            <v>#N/A</v>
          </cell>
          <cell r="W437" t="str">
            <v>KG</v>
          </cell>
          <cell r="X437">
            <v>510</v>
          </cell>
          <cell r="Y437">
            <v>45.32527550657661</v>
          </cell>
          <cell r="Z437">
            <v>0</v>
          </cell>
          <cell r="AA437" t="str">
            <v>KG</v>
          </cell>
          <cell r="AB437">
            <v>0</v>
          </cell>
          <cell r="AC437">
            <v>-9.3854748603350799</v>
          </cell>
          <cell r="AD437">
            <v>-0.83411614471516871</v>
          </cell>
          <cell r="AE437" t="e">
            <v>#N/A</v>
          </cell>
          <cell r="AF437">
            <v>0</v>
          </cell>
          <cell r="AG437" t="e">
            <v>#N/A</v>
          </cell>
          <cell r="AH437" t="e">
            <v>#N/A</v>
          </cell>
          <cell r="AI437">
            <v>510</v>
          </cell>
          <cell r="AJ437">
            <v>0</v>
          </cell>
          <cell r="AK437" t="str">
            <v>Extrusion</v>
          </cell>
          <cell r="AL437">
            <v>1498.6500000000003</v>
          </cell>
          <cell r="AM437">
            <v>1559</v>
          </cell>
          <cell r="AN437">
            <v>1559</v>
          </cell>
          <cell r="AO437">
            <v>0</v>
          </cell>
        </row>
        <row r="438">
          <cell r="K438" t="str">
            <v>SO24-1898</v>
          </cell>
          <cell r="L438" t="str">
            <v>CREAM FLIPS CHOCOLATE 38.5g</v>
          </cell>
          <cell r="M438" t="str">
            <v>C24-1866</v>
          </cell>
          <cell r="O438" t="str">
            <v>COMPLETED</v>
          </cell>
          <cell r="P438">
            <v>2000</v>
          </cell>
          <cell r="Q438">
            <v>1</v>
          </cell>
          <cell r="R438">
            <v>2000</v>
          </cell>
          <cell r="S438" t="str">
            <v>KG</v>
          </cell>
          <cell r="T438">
            <v>667.48603351955319</v>
          </cell>
          <cell r="U438">
            <v>59.321545815815249</v>
          </cell>
          <cell r="V438" t="e">
            <v>#N/A</v>
          </cell>
          <cell r="W438" t="str">
            <v>KG</v>
          </cell>
          <cell r="X438">
            <v>681</v>
          </cell>
          <cell r="Y438">
            <v>60.522573764664052</v>
          </cell>
          <cell r="Z438">
            <v>0</v>
          </cell>
          <cell r="AA438" t="str">
            <v>KG</v>
          </cell>
          <cell r="AB438">
            <v>0</v>
          </cell>
          <cell r="AC438">
            <v>-13.513966480446811</v>
          </cell>
          <cell r="AD438">
            <v>-1.20102794884881</v>
          </cell>
          <cell r="AE438" t="e">
            <v>#N/A</v>
          </cell>
          <cell r="AF438">
            <v>0</v>
          </cell>
          <cell r="AG438" t="e">
            <v>#N/A</v>
          </cell>
          <cell r="AH438" t="e">
            <v>#N/A</v>
          </cell>
          <cell r="AI438">
            <v>681</v>
          </cell>
          <cell r="AJ438">
            <v>0</v>
          </cell>
          <cell r="AK438" t="str">
            <v>Extrusion</v>
          </cell>
          <cell r="AL438">
            <v>1998.2000000000005</v>
          </cell>
          <cell r="AM438">
            <v>2094</v>
          </cell>
          <cell r="AN438">
            <v>2094</v>
          </cell>
          <cell r="AO438">
            <v>0</v>
          </cell>
        </row>
        <row r="439">
          <cell r="K439" t="str">
            <v>SO24-2135</v>
          </cell>
          <cell r="L439" t="str">
            <v>BUNMASTER CLASSIC BREAD MEDIUM (410X305)</v>
          </cell>
          <cell r="M439" t="str">
            <v>C24-2109</v>
          </cell>
          <cell r="O439" t="str">
            <v>COMPLETED</v>
          </cell>
          <cell r="P439">
            <v>400</v>
          </cell>
          <cell r="Q439">
            <v>1</v>
          </cell>
          <cell r="R439">
            <v>400</v>
          </cell>
          <cell r="S439" t="str">
            <v>KG</v>
          </cell>
          <cell r="T439">
            <v>181.93548387096772</v>
          </cell>
          <cell r="U439">
            <v>11.589723778249953</v>
          </cell>
          <cell r="V439" t="e">
            <v>#N/A</v>
          </cell>
          <cell r="W439" t="str">
            <v>KG</v>
          </cell>
          <cell r="X439">
            <v>184</v>
          </cell>
          <cell r="Y439">
            <v>11.721238374315202</v>
          </cell>
          <cell r="Z439">
            <v>0</v>
          </cell>
          <cell r="AA439" t="str">
            <v>KG</v>
          </cell>
          <cell r="AB439">
            <v>0</v>
          </cell>
          <cell r="AC439">
            <v>-2.0645161290322847</v>
          </cell>
          <cell r="AD439">
            <v>-0.1315145960652494</v>
          </cell>
          <cell r="AE439" t="e">
            <v>#N/A</v>
          </cell>
          <cell r="AF439">
            <v>0</v>
          </cell>
          <cell r="AG439" t="e">
            <v>#N/A</v>
          </cell>
          <cell r="AH439" t="e">
            <v>#N/A</v>
          </cell>
          <cell r="AI439">
            <v>184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</row>
        <row r="440">
          <cell r="K440" t="str">
            <v>SO24-2169</v>
          </cell>
          <cell r="L440" t="str">
            <v>Wrapper Mama Ch Bh Hot &amp; Spicy 28gm(4010000309)</v>
          </cell>
          <cell r="M440" t="str">
            <v>C24-2183</v>
          </cell>
          <cell r="O440" t="str">
            <v>COMPLETED</v>
          </cell>
          <cell r="P440">
            <v>8000</v>
          </cell>
          <cell r="Q440">
            <v>1</v>
          </cell>
          <cell r="R440">
            <v>8000</v>
          </cell>
          <cell r="S440" t="str">
            <v>KG</v>
          </cell>
          <cell r="T440">
            <v>2043.405676126878</v>
          </cell>
          <cell r="U440">
            <v>113.52253756260434</v>
          </cell>
          <cell r="V440" t="e">
            <v>#N/A</v>
          </cell>
          <cell r="W440" t="str">
            <v>KG</v>
          </cell>
          <cell r="X440">
            <v>2112</v>
          </cell>
          <cell r="Y440">
            <v>117.33333333333333</v>
          </cell>
          <cell r="Z440">
            <v>0</v>
          </cell>
          <cell r="AA440" t="str">
            <v>KG</v>
          </cell>
          <cell r="AB440">
            <v>0</v>
          </cell>
          <cell r="AC440">
            <v>-68.594323873121994</v>
          </cell>
          <cell r="AD440">
            <v>-3.8107957707289999</v>
          </cell>
          <cell r="AE440" t="e">
            <v>#N/A</v>
          </cell>
          <cell r="AF440">
            <v>0</v>
          </cell>
          <cell r="AG440" t="e">
            <v>#N/A</v>
          </cell>
          <cell r="AH440" t="e">
            <v>#N/A</v>
          </cell>
          <cell r="AI440">
            <v>2112</v>
          </cell>
          <cell r="AJ440">
            <v>0</v>
          </cell>
          <cell r="AK440" t="str">
            <v>Extrusion</v>
          </cell>
          <cell r="AL440">
            <v>5259.1813021702828</v>
          </cell>
          <cell r="AM440">
            <v>5553</v>
          </cell>
          <cell r="AN440">
            <v>5553</v>
          </cell>
          <cell r="AO440">
            <v>0</v>
          </cell>
        </row>
        <row r="441">
          <cell r="K441" t="str">
            <v>SO24-2040</v>
          </cell>
          <cell r="L441" t="str">
            <v>MDN spices (Chilli,Jeera,Dhania &amp; Turmeric) 50g</v>
          </cell>
          <cell r="M441" t="str">
            <v>C24-2189</v>
          </cell>
          <cell r="O441" t="str">
            <v>COMPLETED</v>
          </cell>
          <cell r="P441">
            <v>400</v>
          </cell>
          <cell r="Q441">
            <v>1</v>
          </cell>
          <cell r="R441">
            <v>400</v>
          </cell>
          <cell r="S441" t="str">
            <v>KG</v>
          </cell>
          <cell r="T441">
            <v>99.946524064171101</v>
          </cell>
          <cell r="U441">
            <v>6.8895377448246444</v>
          </cell>
          <cell r="V441" t="e">
            <v>#N/A</v>
          </cell>
          <cell r="W441" t="str">
            <v>KG</v>
          </cell>
          <cell r="X441">
            <v>108</v>
          </cell>
          <cell r="Y441">
            <v>7.444681877714209</v>
          </cell>
          <cell r="Z441">
            <v>0</v>
          </cell>
          <cell r="AA441" t="str">
            <v>KG</v>
          </cell>
          <cell r="AB441">
            <v>0</v>
          </cell>
          <cell r="AC441">
            <v>-8.0534759358288994</v>
          </cell>
          <cell r="AD441">
            <v>-0.55514413288956377</v>
          </cell>
          <cell r="AE441" t="e">
            <v>#N/A</v>
          </cell>
          <cell r="AF441">
            <v>0</v>
          </cell>
          <cell r="AG441" t="e">
            <v>#N/A</v>
          </cell>
          <cell r="AH441" t="e">
            <v>#N/A</v>
          </cell>
          <cell r="AI441">
            <v>108</v>
          </cell>
          <cell r="AJ441">
            <v>0</v>
          </cell>
          <cell r="AK441" t="str">
            <v>solv.Less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</row>
        <row r="442">
          <cell r="K442" t="str">
            <v>SO24-2212</v>
          </cell>
          <cell r="L442" t="str">
            <v>Everyday Mirch Powder 500g</v>
          </cell>
          <cell r="M442" t="str">
            <v>C24-2215</v>
          </cell>
          <cell r="O442" t="str">
            <v>COMPLETED</v>
          </cell>
          <cell r="P442">
            <v>1000</v>
          </cell>
          <cell r="Q442">
            <v>1</v>
          </cell>
          <cell r="R442">
            <v>1000</v>
          </cell>
          <cell r="S442" t="str">
            <v>KG</v>
          </cell>
          <cell r="T442">
            <v>220.31249999999997</v>
          </cell>
          <cell r="U442">
            <v>15.120967741935486</v>
          </cell>
          <cell r="V442" t="e">
            <v>#N/A</v>
          </cell>
          <cell r="W442" t="str">
            <v>KG</v>
          </cell>
          <cell r="X442">
            <v>220</v>
          </cell>
          <cell r="Y442">
            <v>15.099519560741252</v>
          </cell>
          <cell r="Z442">
            <v>0.31249999999997158</v>
          </cell>
          <cell r="AA442" t="str">
            <v>KG</v>
          </cell>
          <cell r="AB442">
            <v>2.1448181194234195E-2</v>
          </cell>
          <cell r="AC442">
            <v>0.31249999999997158</v>
          </cell>
          <cell r="AD442">
            <v>2.1448181194232783E-2</v>
          </cell>
          <cell r="AE442" t="e">
            <v>#N/A</v>
          </cell>
          <cell r="AF442">
            <v>0</v>
          </cell>
          <cell r="AG442" t="e">
            <v>#N/A</v>
          </cell>
          <cell r="AH442" t="e">
            <v>#N/A</v>
          </cell>
          <cell r="AI442">
            <v>220</v>
          </cell>
          <cell r="AJ442">
            <v>0</v>
          </cell>
          <cell r="AK442" t="str">
            <v>solv.Less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</row>
        <row r="443">
          <cell r="K443" t="str">
            <v>SO24-2229</v>
          </cell>
          <cell r="L443" t="str">
            <v>Samiran Tea  Rs  500gm[4D-pouch]</v>
          </cell>
          <cell r="M443" t="str">
            <v>C24-2222</v>
          </cell>
          <cell r="O443" t="str">
            <v>COMPLETED</v>
          </cell>
          <cell r="P443">
            <v>1000.4999999999999</v>
          </cell>
          <cell r="Q443">
            <v>8.6999999999999993</v>
          </cell>
          <cell r="R443">
            <v>115000</v>
          </cell>
          <cell r="S443" t="str">
            <v>NO</v>
          </cell>
          <cell r="T443">
            <v>238.61548872180447</v>
          </cell>
          <cell r="U443">
            <v>15.998892937866138</v>
          </cell>
          <cell r="V443">
            <v>1009.5278939008955</v>
          </cell>
          <cell r="W443" t="str">
            <v>NO</v>
          </cell>
          <cell r="X443">
            <v>250</v>
          </cell>
          <cell r="Y443">
            <v>16.762211270910861</v>
          </cell>
          <cell r="Z443">
            <v>0</v>
          </cell>
          <cell r="AA443" t="str">
            <v>NO</v>
          </cell>
          <cell r="AB443">
            <v>0</v>
          </cell>
          <cell r="AC443">
            <v>-11.384511278195532</v>
          </cell>
          <cell r="AD443">
            <v>-0.76331833304472385</v>
          </cell>
          <cell r="AE443">
            <v>0.8</v>
          </cell>
          <cell r="AF443">
            <v>0</v>
          </cell>
          <cell r="AG443">
            <v>0</v>
          </cell>
          <cell r="AH443">
            <v>0</v>
          </cell>
          <cell r="AI443">
            <v>250</v>
          </cell>
          <cell r="AJ443">
            <v>0</v>
          </cell>
          <cell r="AK443" t="str">
            <v>solv.Less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</row>
        <row r="444">
          <cell r="K444" t="str">
            <v>SO24-2239</v>
          </cell>
          <cell r="L444" t="str">
            <v>KETEKI BAMBOO SHOOT KING CHILLI PICKLE RS10</v>
          </cell>
          <cell r="M444" t="str">
            <v>C24-2242</v>
          </cell>
          <cell r="O444" t="str">
            <v>COMPLETED</v>
          </cell>
          <cell r="P444">
            <v>300</v>
          </cell>
          <cell r="Q444">
            <v>1</v>
          </cell>
          <cell r="R444">
            <v>300</v>
          </cell>
          <cell r="S444" t="str">
            <v>KG</v>
          </cell>
          <cell r="T444">
            <v>63.913043478260875</v>
          </cell>
          <cell r="U444">
            <v>4.6679114430514819</v>
          </cell>
          <cell r="V444" t="e">
            <v>#N/A</v>
          </cell>
          <cell r="W444" t="str">
            <v>KG</v>
          </cell>
          <cell r="X444">
            <v>66</v>
          </cell>
          <cell r="Y444">
            <v>4.8203330411919385</v>
          </cell>
          <cell r="Z444">
            <v>0</v>
          </cell>
          <cell r="AA444" t="str">
            <v>KG</v>
          </cell>
          <cell r="AB444">
            <v>0</v>
          </cell>
          <cell r="AC444">
            <v>-2.0869565217391255</v>
          </cell>
          <cell r="AD444">
            <v>-0.15242159814045617</v>
          </cell>
          <cell r="AE444" t="e">
            <v>#N/A</v>
          </cell>
          <cell r="AF444">
            <v>0</v>
          </cell>
          <cell r="AG444" t="e">
            <v>#N/A</v>
          </cell>
          <cell r="AH444" t="e">
            <v>#N/A</v>
          </cell>
          <cell r="AI444">
            <v>66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</row>
        <row r="445">
          <cell r="K445" t="str">
            <v>SO24-2240</v>
          </cell>
          <cell r="L445" t="str">
            <v>KETEKI KING CHILLI PICKLE RS 10</v>
          </cell>
          <cell r="M445" t="str">
            <v>C24-2243</v>
          </cell>
          <cell r="O445" t="str">
            <v>COMPLETED</v>
          </cell>
          <cell r="P445">
            <v>300</v>
          </cell>
          <cell r="Q445">
            <v>1</v>
          </cell>
          <cell r="R445">
            <v>300</v>
          </cell>
          <cell r="S445" t="str">
            <v>KG</v>
          </cell>
          <cell r="T445">
            <v>63.913043478260875</v>
          </cell>
          <cell r="U445">
            <v>4.6679114430514819</v>
          </cell>
          <cell r="V445" t="e">
            <v>#N/A</v>
          </cell>
          <cell r="W445" t="str">
            <v>KG</v>
          </cell>
          <cell r="X445">
            <v>70</v>
          </cell>
          <cell r="Y445">
            <v>5.1124744376278128</v>
          </cell>
          <cell r="Z445">
            <v>0</v>
          </cell>
          <cell r="AA445" t="str">
            <v>KG</v>
          </cell>
          <cell r="AB445">
            <v>0</v>
          </cell>
          <cell r="AC445">
            <v>-6.0869565217391255</v>
          </cell>
          <cell r="AD445">
            <v>-0.44456299457633119</v>
          </cell>
          <cell r="AE445" t="e">
            <v>#N/A</v>
          </cell>
          <cell r="AF445">
            <v>0</v>
          </cell>
          <cell r="AG445" t="e">
            <v>#N/A</v>
          </cell>
          <cell r="AH445" t="e">
            <v>#N/A</v>
          </cell>
          <cell r="AI445">
            <v>70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</row>
        <row r="446">
          <cell r="K446" t="str">
            <v>SO24-2114</v>
          </cell>
          <cell r="L446" t="str">
            <v>Margo TS Lami 43gm Dangler Roll R1(4000004860)  4UPS</v>
          </cell>
          <cell r="M446" t="str">
            <v>C24-2253</v>
          </cell>
          <cell r="O446" t="str">
            <v>COMPLETED</v>
          </cell>
          <cell r="P446">
            <v>4300</v>
          </cell>
          <cell r="Q446">
            <v>1</v>
          </cell>
          <cell r="R446">
            <v>4300</v>
          </cell>
          <cell r="S446" t="str">
            <v>KG</v>
          </cell>
          <cell r="T446">
            <v>911.50740242261111</v>
          </cell>
          <cell r="U446">
            <v>54.499695212114268</v>
          </cell>
          <cell r="V446" t="e">
            <v>#N/A</v>
          </cell>
          <cell r="W446" t="str">
            <v>KG</v>
          </cell>
          <cell r="X446">
            <v>915</v>
          </cell>
          <cell r="Y446">
            <v>54.708520179372194</v>
          </cell>
          <cell r="Z446">
            <v>0</v>
          </cell>
          <cell r="AA446" t="str">
            <v>KG</v>
          </cell>
          <cell r="AB446">
            <v>0</v>
          </cell>
          <cell r="AC446">
            <v>-3.4925975773888922</v>
          </cell>
          <cell r="AD446">
            <v>-0.20882496725793079</v>
          </cell>
          <cell r="AE446" t="e">
            <v>#N/A</v>
          </cell>
          <cell r="AF446">
            <v>0</v>
          </cell>
          <cell r="AG446" t="e">
            <v>#N/A</v>
          </cell>
          <cell r="AH446" t="e">
            <v>#N/A</v>
          </cell>
          <cell r="AI446">
            <v>915</v>
          </cell>
          <cell r="AJ446">
            <v>0</v>
          </cell>
          <cell r="AK446" t="str">
            <v>solv.Less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</row>
        <row r="447">
          <cell r="K447" t="str">
            <v>SO24-2267</v>
          </cell>
          <cell r="L447" t="str">
            <v>Margo TS Lami 43gm Dangler Roll R1(4000004860)  4UPS</v>
          </cell>
          <cell r="M447" t="str">
            <v>C24-2270</v>
          </cell>
          <cell r="O447" t="str">
            <v>COMPLETED</v>
          </cell>
          <cell r="P447">
            <v>7300</v>
          </cell>
          <cell r="Q447">
            <v>1</v>
          </cell>
          <cell r="R447">
            <v>7300</v>
          </cell>
          <cell r="S447" t="str">
            <v>KG</v>
          </cell>
          <cell r="T447">
            <v>1547.4427994616422</v>
          </cell>
          <cell r="U447">
            <v>92.522738383356781</v>
          </cell>
          <cell r="V447" t="e">
            <v>#N/A</v>
          </cell>
          <cell r="W447" t="str">
            <v>KG</v>
          </cell>
          <cell r="X447">
            <v>1571</v>
          </cell>
          <cell r="Y447">
            <v>93.931240657698055</v>
          </cell>
          <cell r="Z447">
            <v>0</v>
          </cell>
          <cell r="AA447" t="str">
            <v>KG</v>
          </cell>
          <cell r="AB447">
            <v>0</v>
          </cell>
          <cell r="AC447">
            <v>-23.557200538357847</v>
          </cell>
          <cell r="AD447">
            <v>-1.4085022743412765</v>
          </cell>
          <cell r="AE447" t="e">
            <v>#N/A</v>
          </cell>
          <cell r="AF447">
            <v>0</v>
          </cell>
          <cell r="AG447" t="e">
            <v>#N/A</v>
          </cell>
          <cell r="AH447" t="e">
            <v>#N/A</v>
          </cell>
          <cell r="AI447">
            <v>1571</v>
          </cell>
          <cell r="AJ447">
            <v>0</v>
          </cell>
          <cell r="AK447" t="str">
            <v>solv.Less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</row>
        <row r="448">
          <cell r="K448" t="str">
            <v>SO24-2163</v>
          </cell>
          <cell r="L448" t="str">
            <v>Frojo 3 in 1 (Noodies,Salted Refill,Katori)</v>
          </cell>
          <cell r="M448" t="str">
            <v>C24-2277</v>
          </cell>
          <cell r="O448" t="str">
            <v>COMPLETED</v>
          </cell>
          <cell r="P448">
            <v>3000</v>
          </cell>
          <cell r="Q448">
            <v>1</v>
          </cell>
          <cell r="R448">
            <v>3000</v>
          </cell>
          <cell r="S448" t="str">
            <v>KG</v>
          </cell>
          <cell r="T448">
            <v>784.28148635317325</v>
          </cell>
          <cell r="U448">
            <v>53.081657282786679</v>
          </cell>
          <cell r="V448" t="e">
            <v>#N/A</v>
          </cell>
          <cell r="W448" t="str">
            <v>KG</v>
          </cell>
          <cell r="X448">
            <v>794</v>
          </cell>
          <cell r="Y448">
            <v>53.739424703891707</v>
          </cell>
          <cell r="Z448">
            <v>0</v>
          </cell>
          <cell r="AA448" t="str">
            <v>KG</v>
          </cell>
          <cell r="AB448">
            <v>0</v>
          </cell>
          <cell r="AC448">
            <v>-9.7185136468267501</v>
          </cell>
          <cell r="AD448">
            <v>-0.6577674211050254</v>
          </cell>
          <cell r="AE448" t="e">
            <v>#N/A</v>
          </cell>
          <cell r="AF448">
            <v>0</v>
          </cell>
          <cell r="AG448" t="e">
            <v>#N/A</v>
          </cell>
          <cell r="AH448" t="e">
            <v>#N/A</v>
          </cell>
          <cell r="AI448">
            <v>794</v>
          </cell>
          <cell r="AJ448">
            <v>0</v>
          </cell>
          <cell r="AK448" t="str">
            <v>Extrusion</v>
          </cell>
          <cell r="AL448">
            <v>2018.5314041433737</v>
          </cell>
          <cell r="AM448">
            <v>2100</v>
          </cell>
          <cell r="AN448">
            <v>2100</v>
          </cell>
          <cell r="AO448">
            <v>0</v>
          </cell>
        </row>
        <row r="449">
          <cell r="K449" t="str">
            <v>SO24-2263</v>
          </cell>
          <cell r="L449" t="str">
            <v>AXOM TALES MAKE-UP BOX RS 5/-</v>
          </cell>
          <cell r="M449" t="str">
            <v>C24-2298</v>
          </cell>
          <cell r="O449" t="str">
            <v>COMPLETED</v>
          </cell>
          <cell r="P449">
            <v>1000</v>
          </cell>
          <cell r="Q449">
            <v>1</v>
          </cell>
          <cell r="R449">
            <v>1000</v>
          </cell>
          <cell r="S449" t="str">
            <v>KG</v>
          </cell>
          <cell r="T449">
            <v>242.23602484472048</v>
          </cell>
          <cell r="U449">
            <v>18.669443147955338</v>
          </cell>
          <cell r="V449">
            <v>920.38128476387828</v>
          </cell>
          <cell r="W449" t="str">
            <v>KG</v>
          </cell>
          <cell r="X449">
            <v>234</v>
          </cell>
          <cell r="Y449">
            <v>18.034682080924856</v>
          </cell>
          <cell r="Z449">
            <v>8.2360248447204754</v>
          </cell>
          <cell r="AA449" t="str">
            <v>KG</v>
          </cell>
          <cell r="AB449">
            <v>0.63476106703048174</v>
          </cell>
          <cell r="AC449">
            <v>8.2360248447204754</v>
          </cell>
          <cell r="AD449">
            <v>0.63476106703047985</v>
          </cell>
          <cell r="AE449">
            <v>0.84</v>
          </cell>
          <cell r="AF449">
            <v>0.63476106703048174</v>
          </cell>
          <cell r="AG449">
            <v>0</v>
          </cell>
          <cell r="AH449">
            <v>0.63476106703048174</v>
          </cell>
          <cell r="AI449">
            <v>234</v>
          </cell>
          <cell r="AJ449">
            <v>0</v>
          </cell>
          <cell r="AK449" t="str">
            <v>Extrusion</v>
          </cell>
          <cell r="AL449">
            <v>623.45093167701873</v>
          </cell>
          <cell r="AM449">
            <v>608</v>
          </cell>
          <cell r="AN449">
            <v>608</v>
          </cell>
          <cell r="AO449">
            <v>0</v>
          </cell>
        </row>
        <row r="450">
          <cell r="K450" t="str">
            <v>SO24-2312</v>
          </cell>
          <cell r="L450" t="str">
            <v>KANYAKA PESTURISED COW MILK 500ML</v>
          </cell>
          <cell r="M450" t="str">
            <v>C24-2309</v>
          </cell>
          <cell r="O450" t="str">
            <v>COMPLETED</v>
          </cell>
          <cell r="P450">
            <v>700</v>
          </cell>
          <cell r="Q450">
            <v>1</v>
          </cell>
          <cell r="R450">
            <v>700</v>
          </cell>
          <cell r="S450" t="str">
            <v>KG</v>
          </cell>
          <cell r="T450">
            <v>700</v>
          </cell>
          <cell r="U450">
            <v>18.445322793148879</v>
          </cell>
          <cell r="V450">
            <v>693.11034877072598</v>
          </cell>
          <cell r="W450" t="str">
            <v>KG</v>
          </cell>
          <cell r="X450">
            <v>746</v>
          </cell>
          <cell r="Y450">
            <v>19.65744400527009</v>
          </cell>
          <cell r="Z450">
            <v>0</v>
          </cell>
          <cell r="AA450" t="str">
            <v>KG</v>
          </cell>
          <cell r="AB450">
            <v>0</v>
          </cell>
          <cell r="AC450">
            <v>-46</v>
          </cell>
          <cell r="AD450">
            <v>-1.2121212121212119</v>
          </cell>
          <cell r="AE450">
            <v>0.65</v>
          </cell>
          <cell r="AF450">
            <v>0</v>
          </cell>
          <cell r="AG450">
            <v>0</v>
          </cell>
          <cell r="AH450">
            <v>0</v>
          </cell>
          <cell r="AI450">
            <v>746</v>
          </cell>
          <cell r="AJ450">
            <v>0</v>
          </cell>
          <cell r="AK450" t="str">
            <v>Slitting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</row>
        <row r="451">
          <cell r="K451" t="str">
            <v>SO24-2313</v>
          </cell>
          <cell r="L451" t="str">
            <v>Samiran Tea  Rs 10/-(30gm)[WITHOUT CODING]</v>
          </cell>
          <cell r="M451" t="str">
            <v>C24-2310</v>
          </cell>
          <cell r="O451" t="str">
            <v>COMPLETED</v>
          </cell>
          <cell r="P451">
            <v>1500</v>
          </cell>
          <cell r="Q451">
            <v>1</v>
          </cell>
          <cell r="R451">
            <v>1500</v>
          </cell>
          <cell r="S451" t="str">
            <v>KG</v>
          </cell>
          <cell r="T451">
            <v>387.42404227212677</v>
          </cell>
          <cell r="U451">
            <v>30.30538503380216</v>
          </cell>
          <cell r="V451">
            <v>1437.9103006116136</v>
          </cell>
          <cell r="W451" t="str">
            <v>KG</v>
          </cell>
          <cell r="X451">
            <v>390</v>
          </cell>
          <cell r="Y451">
            <v>30.506883604505635</v>
          </cell>
          <cell r="Z451">
            <v>0</v>
          </cell>
          <cell r="AA451" t="str">
            <v>KG</v>
          </cell>
          <cell r="AB451">
            <v>0</v>
          </cell>
          <cell r="AC451">
            <v>-2.5759577278732309</v>
          </cell>
          <cell r="AD451">
            <v>-0.20149857070347552</v>
          </cell>
          <cell r="AE451">
            <v>0.66</v>
          </cell>
          <cell r="AF451">
            <v>0</v>
          </cell>
          <cell r="AG451">
            <v>0</v>
          </cell>
          <cell r="AH451">
            <v>0</v>
          </cell>
          <cell r="AI451">
            <v>390</v>
          </cell>
          <cell r="AJ451">
            <v>0</v>
          </cell>
          <cell r="AK451" t="str">
            <v>solv.Less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</row>
        <row r="452">
          <cell r="K452" t="str">
            <v>SO24-2317</v>
          </cell>
          <cell r="L452" t="str">
            <v>SHREE GOLD ATTA  5KG[POUCH][12/85]</v>
          </cell>
          <cell r="M452" t="str">
            <v>C24-2311</v>
          </cell>
          <cell r="O452" t="str">
            <v>COMPLETED</v>
          </cell>
          <cell r="P452">
            <v>1000</v>
          </cell>
          <cell r="Q452">
            <v>1</v>
          </cell>
          <cell r="R452">
            <v>1000</v>
          </cell>
          <cell r="S452" t="str">
            <v>KG</v>
          </cell>
          <cell r="T452">
            <v>175.49164220502689</v>
          </cell>
          <cell r="U452">
            <v>14.917684648506198</v>
          </cell>
          <cell r="V452">
            <v>984.84833265703492</v>
          </cell>
          <cell r="W452" t="str">
            <v>KG</v>
          </cell>
          <cell r="X452">
            <v>181</v>
          </cell>
          <cell r="Y452">
            <v>15.385923155389323</v>
          </cell>
          <cell r="Z452">
            <v>0</v>
          </cell>
          <cell r="AA452" t="str">
            <v>KG</v>
          </cell>
          <cell r="AB452">
            <v>0</v>
          </cell>
          <cell r="AC452">
            <v>-5.508357794973108</v>
          </cell>
          <cell r="AD452">
            <v>-0.46823850688312724</v>
          </cell>
          <cell r="AE452">
            <v>0.66500000000000004</v>
          </cell>
          <cell r="AF452">
            <v>0</v>
          </cell>
          <cell r="AG452">
            <v>0</v>
          </cell>
          <cell r="AH452">
            <v>0</v>
          </cell>
          <cell r="AI452">
            <v>181</v>
          </cell>
          <cell r="AJ452">
            <v>0</v>
          </cell>
          <cell r="AK452" t="str">
            <v>solv.Less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</row>
        <row r="453">
          <cell r="K453" t="str">
            <v>SO24-2303</v>
          </cell>
          <cell r="L453" t="str">
            <v>NON STOP BIKANERI BHUJIA STANDY PACK Rs55(180*565)</v>
          </cell>
          <cell r="M453" t="str">
            <v>C24-2312</v>
          </cell>
          <cell r="O453" t="str">
            <v>COMPLETED</v>
          </cell>
          <cell r="P453">
            <v>522.5</v>
          </cell>
          <cell r="Q453">
            <v>10.45</v>
          </cell>
          <cell r="R453">
            <v>50000</v>
          </cell>
          <cell r="S453" t="str">
            <v>NO</v>
          </cell>
          <cell r="T453">
            <v>81.209677419354847</v>
          </cell>
          <cell r="U453">
            <v>4.6471918408786754</v>
          </cell>
          <cell r="V453">
            <v>530.45671714308844</v>
          </cell>
          <cell r="W453" t="str">
            <v>NO</v>
          </cell>
          <cell r="X453">
            <v>85</v>
          </cell>
          <cell r="Y453">
            <v>4.8640915593705296</v>
          </cell>
          <cell r="Z453">
            <v>0</v>
          </cell>
          <cell r="AA453" t="str">
            <v>NO</v>
          </cell>
          <cell r="AB453">
            <v>0</v>
          </cell>
          <cell r="AC453">
            <v>-3.790322580645153</v>
          </cell>
          <cell r="AD453">
            <v>-0.21689971849185424</v>
          </cell>
          <cell r="AE453">
            <v>1.1299999999999999</v>
          </cell>
          <cell r="AF453">
            <v>0</v>
          </cell>
          <cell r="AG453">
            <v>0</v>
          </cell>
          <cell r="AH453">
            <v>0</v>
          </cell>
          <cell r="AI453">
            <v>85</v>
          </cell>
          <cell r="AJ453">
            <v>0</v>
          </cell>
          <cell r="AK453" t="str">
            <v>Extrusion</v>
          </cell>
          <cell r="AL453">
            <v>210.06236559139788</v>
          </cell>
          <cell r="AM453">
            <v>201</v>
          </cell>
          <cell r="AN453">
            <v>201</v>
          </cell>
          <cell r="AO453">
            <v>0</v>
          </cell>
        </row>
        <row r="454">
          <cell r="K454" t="str">
            <v>SO24-2307</v>
          </cell>
          <cell r="L454" t="str">
            <v>NON STOP KHATTA MEETHA STANDY PACK Rs55(180*565)</v>
          </cell>
          <cell r="M454" t="str">
            <v>C24-2316</v>
          </cell>
          <cell r="O454" t="str">
            <v>COMPLETED</v>
          </cell>
          <cell r="P454">
            <v>522.5</v>
          </cell>
          <cell r="Q454">
            <v>10.45</v>
          </cell>
          <cell r="R454">
            <v>50000</v>
          </cell>
          <cell r="S454" t="str">
            <v>NO</v>
          </cell>
          <cell r="T454">
            <v>81.209677419354847</v>
          </cell>
          <cell r="U454">
            <v>4.6471918408786754</v>
          </cell>
          <cell r="V454">
            <v>549.17871892460914</v>
          </cell>
          <cell r="W454" t="str">
            <v>NO</v>
          </cell>
          <cell r="X454">
            <v>88</v>
          </cell>
          <cell r="Y454">
            <v>5.0357653791130179</v>
          </cell>
          <cell r="Z454">
            <v>0</v>
          </cell>
          <cell r="AA454" t="str">
            <v>NO</v>
          </cell>
          <cell r="AB454">
            <v>0</v>
          </cell>
          <cell r="AC454">
            <v>-6.790322580645153</v>
          </cell>
          <cell r="AD454">
            <v>-0.38857353823434349</v>
          </cell>
          <cell r="AE454">
            <v>1.1299999999999999</v>
          </cell>
          <cell r="AF454">
            <v>0</v>
          </cell>
          <cell r="AG454">
            <v>0</v>
          </cell>
          <cell r="AH454">
            <v>0</v>
          </cell>
          <cell r="AI454">
            <v>88</v>
          </cell>
          <cell r="AJ454">
            <v>0</v>
          </cell>
          <cell r="AK454" t="str">
            <v>Extrusion</v>
          </cell>
          <cell r="AL454">
            <v>210.06236559139788</v>
          </cell>
          <cell r="AM454">
            <v>217</v>
          </cell>
          <cell r="AN454">
            <v>217</v>
          </cell>
          <cell r="AO454">
            <v>0</v>
          </cell>
        </row>
        <row r="455">
          <cell r="K455" t="str">
            <v>SO24-2309</v>
          </cell>
          <cell r="L455" t="str">
            <v>NON- STOP-JADU-PUFF Rs 5/-[8/8/10/19]2.2OD[CW-300MM]</v>
          </cell>
          <cell r="M455" t="str">
            <v>C24-2318</v>
          </cell>
          <cell r="O455" t="str">
            <v>COMPLETED</v>
          </cell>
          <cell r="P455">
            <v>2000</v>
          </cell>
          <cell r="Q455">
            <v>1</v>
          </cell>
          <cell r="R455">
            <v>2000</v>
          </cell>
          <cell r="S455" t="str">
            <v>KG</v>
          </cell>
          <cell r="T455">
            <v>455.85552717986127</v>
          </cell>
          <cell r="U455">
            <v>41.413175305915175</v>
          </cell>
          <cell r="V455">
            <v>2012.7689954105051</v>
          </cell>
          <cell r="W455" t="str">
            <v>KG</v>
          </cell>
          <cell r="X455">
            <v>476</v>
          </cell>
          <cell r="Y455">
            <v>43.243243243243249</v>
          </cell>
          <cell r="Z455">
            <v>0</v>
          </cell>
          <cell r="AA455" t="str">
            <v>KG</v>
          </cell>
          <cell r="AB455">
            <v>0</v>
          </cell>
          <cell r="AC455">
            <v>-20.144472820138731</v>
          </cell>
          <cell r="AD455">
            <v>-1.8300679373280702</v>
          </cell>
          <cell r="AE455">
            <v>0.9</v>
          </cell>
          <cell r="AF455">
            <v>0</v>
          </cell>
          <cell r="AG455">
            <v>0</v>
          </cell>
          <cell r="AH455">
            <v>0</v>
          </cell>
          <cell r="AI455">
            <v>476</v>
          </cell>
          <cell r="AJ455">
            <v>0</v>
          </cell>
          <cell r="AK455" t="str">
            <v>Extrusion</v>
          </cell>
          <cell r="AL455">
            <v>1255.9394381612549</v>
          </cell>
          <cell r="AM455">
            <v>1325</v>
          </cell>
          <cell r="AN455">
            <v>1325</v>
          </cell>
          <cell r="AO455">
            <v>0</v>
          </cell>
        </row>
        <row r="456">
          <cell r="K456" t="str">
            <v>SO24-2323</v>
          </cell>
          <cell r="L456" t="str">
            <v>Zoom DSG Plus 1kg</v>
          </cell>
          <cell r="M456" t="str">
            <v>C24-2327</v>
          </cell>
          <cell r="O456" t="str">
            <v>COMPLETED</v>
          </cell>
          <cell r="P456">
            <v>1372</v>
          </cell>
          <cell r="Q456">
            <v>1</v>
          </cell>
          <cell r="R456">
            <v>1372</v>
          </cell>
          <cell r="S456" t="str">
            <v>KG</v>
          </cell>
          <cell r="T456">
            <v>201.21307578008913</v>
          </cell>
          <cell r="U456">
            <v>14.968983468240527</v>
          </cell>
          <cell r="V456" t="e">
            <v>#N/A</v>
          </cell>
          <cell r="W456" t="str">
            <v>KG</v>
          </cell>
          <cell r="X456">
            <v>193</v>
          </cell>
          <cell r="Y456">
            <v>14.357982443088828</v>
          </cell>
          <cell r="Z456">
            <v>8.2130757800891274</v>
          </cell>
          <cell r="AA456" t="str">
            <v>KG</v>
          </cell>
          <cell r="AB456">
            <v>0.6110010251516993</v>
          </cell>
          <cell r="AC456">
            <v>8.2130757800891274</v>
          </cell>
          <cell r="AD456">
            <v>0.6110010251516983</v>
          </cell>
          <cell r="AE456" t="e">
            <v>#N/A</v>
          </cell>
          <cell r="AF456">
            <v>0</v>
          </cell>
          <cell r="AG456" t="e">
            <v>#N/A</v>
          </cell>
          <cell r="AH456" t="e">
            <v>#N/A</v>
          </cell>
          <cell r="AI456">
            <v>193</v>
          </cell>
          <cell r="AJ456">
            <v>0</v>
          </cell>
          <cell r="AK456" t="str">
            <v>solv.Less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</row>
        <row r="457">
          <cell r="K457" t="str">
            <v>SO24-2324</v>
          </cell>
          <cell r="L457" t="str">
            <v>Zoom DSG Plus 1kg (Gusset )</v>
          </cell>
          <cell r="M457" t="str">
            <v>C24-2328</v>
          </cell>
          <cell r="O457" t="str">
            <v>COMPLETED</v>
          </cell>
          <cell r="P457">
            <v>691</v>
          </cell>
          <cell r="Q457">
            <v>1</v>
          </cell>
          <cell r="R457">
            <v>691</v>
          </cell>
          <cell r="S457" t="str">
            <v>KG</v>
          </cell>
          <cell r="T457">
            <v>94.305146506386166</v>
          </cell>
          <cell r="U457">
            <v>7.4165503917570037</v>
          </cell>
          <cell r="V457" t="e">
            <v>#N/A</v>
          </cell>
          <cell r="W457" t="str">
            <v>KG</v>
          </cell>
          <cell r="X457">
            <v>99</v>
          </cell>
          <cell r="Y457">
            <v>7.7857732688451122</v>
          </cell>
          <cell r="Z457">
            <v>0</v>
          </cell>
          <cell r="AA457" t="str">
            <v>KG</v>
          </cell>
          <cell r="AB457">
            <v>0</v>
          </cell>
          <cell r="AC457">
            <v>-4.6948534936138344</v>
          </cell>
          <cell r="AD457">
            <v>-0.36922287708810786</v>
          </cell>
          <cell r="AE457" t="e">
            <v>#N/A</v>
          </cell>
          <cell r="AF457">
            <v>0</v>
          </cell>
          <cell r="AG457" t="e">
            <v>#N/A</v>
          </cell>
          <cell r="AH457" t="e">
            <v>#N/A</v>
          </cell>
          <cell r="AI457">
            <v>99</v>
          </cell>
          <cell r="AJ457">
            <v>0</v>
          </cell>
          <cell r="AK457" t="str">
            <v>solv.Less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</row>
        <row r="458">
          <cell r="K458" t="str">
            <v>SO24-2350</v>
          </cell>
          <cell r="L458" t="str">
            <v>Repose Chanachur -Rs5/</v>
          </cell>
          <cell r="M458" t="str">
            <v>C24-2354</v>
          </cell>
          <cell r="O458" t="str">
            <v>COMPLETED</v>
          </cell>
          <cell r="P458">
            <v>1000</v>
          </cell>
          <cell r="Q458">
            <v>1</v>
          </cell>
          <cell r="R458">
            <v>1000</v>
          </cell>
          <cell r="S458" t="str">
            <v>KG</v>
          </cell>
          <cell r="T458">
            <v>261.42716211772444</v>
          </cell>
          <cell r="U458">
            <v>20.148528872271633</v>
          </cell>
          <cell r="V458" t="e">
            <v>#N/A</v>
          </cell>
          <cell r="W458" t="str">
            <v>KG</v>
          </cell>
          <cell r="X458">
            <v>264</v>
          </cell>
          <cell r="Y458">
            <v>20.346820809248552</v>
          </cell>
          <cell r="Z458">
            <v>0</v>
          </cell>
          <cell r="AA458" t="str">
            <v>KG</v>
          </cell>
          <cell r="AB458">
            <v>0</v>
          </cell>
          <cell r="AC458">
            <v>-2.5728378822755644</v>
          </cell>
          <cell r="AD458">
            <v>-0.1982919369769221</v>
          </cell>
          <cell r="AE458" t="e">
            <v>#N/A</v>
          </cell>
          <cell r="AF458">
            <v>0</v>
          </cell>
          <cell r="AG458" t="e">
            <v>#N/A</v>
          </cell>
          <cell r="AH458" t="e">
            <v>#N/A</v>
          </cell>
          <cell r="AI458">
            <v>264</v>
          </cell>
          <cell r="AJ458">
            <v>0</v>
          </cell>
          <cell r="AK458" t="str">
            <v>Extrusion</v>
          </cell>
          <cell r="AL458">
            <v>672.84380138112454</v>
          </cell>
          <cell r="AM458">
            <v>661</v>
          </cell>
          <cell r="AN458">
            <v>661</v>
          </cell>
          <cell r="AO458">
            <v>0</v>
          </cell>
        </row>
        <row r="459">
          <cell r="K459" t="str">
            <v>SO24-2345</v>
          </cell>
          <cell r="L459" t="str">
            <v>Yumzee Fried Rice Rs 5/-</v>
          </cell>
          <cell r="M459" t="str">
            <v>C24-2361</v>
          </cell>
          <cell r="O459" t="str">
            <v>COMPLETED</v>
          </cell>
          <cell r="P459">
            <v>1000</v>
          </cell>
          <cell r="Q459">
            <v>1</v>
          </cell>
          <cell r="R459">
            <v>1000</v>
          </cell>
          <cell r="S459" t="str">
            <v>KG</v>
          </cell>
          <cell r="T459">
            <v>258.96086813548175</v>
          </cell>
          <cell r="U459">
            <v>17.526962310354097</v>
          </cell>
          <cell r="V459" t="e">
            <v>#N/A</v>
          </cell>
          <cell r="W459" t="str">
            <v>KG</v>
          </cell>
          <cell r="X459">
            <v>292</v>
          </cell>
          <cell r="Y459">
            <v>19.763113367174281</v>
          </cell>
          <cell r="Z459">
            <v>0</v>
          </cell>
          <cell r="AA459" t="str">
            <v>KG</v>
          </cell>
          <cell r="AB459">
            <v>0</v>
          </cell>
          <cell r="AC459">
            <v>-33.039131864518254</v>
          </cell>
          <cell r="AD459">
            <v>-2.2361510568201863</v>
          </cell>
          <cell r="AE459" t="e">
            <v>#N/A</v>
          </cell>
          <cell r="AF459">
            <v>0</v>
          </cell>
          <cell r="AG459" t="e">
            <v>#N/A</v>
          </cell>
          <cell r="AH459" t="e">
            <v>#N/A</v>
          </cell>
          <cell r="AI459">
            <v>292</v>
          </cell>
          <cell r="AJ459">
            <v>0</v>
          </cell>
          <cell r="AK459" t="str">
            <v>Extrusion</v>
          </cell>
          <cell r="AL459">
            <v>666.49621834922732</v>
          </cell>
          <cell r="AM459">
            <v>791</v>
          </cell>
          <cell r="AN459">
            <v>791</v>
          </cell>
          <cell r="AO459">
            <v>0</v>
          </cell>
        </row>
        <row r="460">
          <cell r="K460" t="str">
            <v>SO24-2262</v>
          </cell>
          <cell r="L460" t="str">
            <v>AXOM TALES SALTED POPCORN RS 5/-</v>
          </cell>
          <cell r="M460" t="str">
            <v>C24-2370</v>
          </cell>
          <cell r="O460" t="str">
            <v>COMPLETED</v>
          </cell>
          <cell r="P460">
            <v>1000</v>
          </cell>
          <cell r="Q460">
            <v>1</v>
          </cell>
          <cell r="R460">
            <v>1000</v>
          </cell>
          <cell r="S460" t="str">
            <v>KG</v>
          </cell>
          <cell r="T460">
            <v>232.28111971411556</v>
          </cell>
          <cell r="U460">
            <v>17.90220575831334</v>
          </cell>
          <cell r="V460">
            <v>992.64076780455855</v>
          </cell>
          <cell r="W460" t="str">
            <v>KG</v>
          </cell>
          <cell r="X460">
            <v>242</v>
          </cell>
          <cell r="Y460">
            <v>18.651252408477841</v>
          </cell>
          <cell r="Z460">
            <v>0</v>
          </cell>
          <cell r="AA460" t="str">
            <v>KG</v>
          </cell>
          <cell r="AB460">
            <v>0</v>
          </cell>
          <cell r="AC460">
            <v>-9.7188802858844383</v>
          </cell>
          <cell r="AD460">
            <v>-0.74904665016450389</v>
          </cell>
          <cell r="AE460">
            <v>0.84</v>
          </cell>
          <cell r="AF460">
            <v>0</v>
          </cell>
          <cell r="AG460">
            <v>0</v>
          </cell>
          <cell r="AH460">
            <v>0</v>
          </cell>
          <cell r="AI460">
            <v>242</v>
          </cell>
          <cell r="AJ460">
            <v>0</v>
          </cell>
          <cell r="AK460" t="str">
            <v>Extrusion</v>
          </cell>
          <cell r="AL460">
            <v>597.82966051220967</v>
          </cell>
          <cell r="AM460">
            <v>642</v>
          </cell>
          <cell r="AN460">
            <v>642</v>
          </cell>
          <cell r="AO460">
            <v>0</v>
          </cell>
        </row>
        <row r="461">
          <cell r="K461" t="str">
            <v>SO24-2342</v>
          </cell>
          <cell r="L461" t="str">
            <v>Golaghat Tea 250g (R1)</v>
          </cell>
          <cell r="M461" t="str">
            <v>C24-2372</v>
          </cell>
          <cell r="O461" t="str">
            <v>COMPLETED</v>
          </cell>
          <cell r="P461">
            <v>1000</v>
          </cell>
          <cell r="Q461">
            <v>1</v>
          </cell>
          <cell r="R461">
            <v>1000</v>
          </cell>
          <cell r="S461" t="str">
            <v>KG</v>
          </cell>
          <cell r="T461">
            <v>278.65300146412881</v>
          </cell>
          <cell r="U461">
            <v>21.59849641236514</v>
          </cell>
          <cell r="V461" t="e">
            <v>#N/A</v>
          </cell>
          <cell r="W461" t="str">
            <v>KG</v>
          </cell>
          <cell r="X461">
            <v>279</v>
          </cell>
          <cell r="Y461">
            <v>21.625392396233</v>
          </cell>
          <cell r="Z461">
            <v>0</v>
          </cell>
          <cell r="AA461" t="str">
            <v>KG</v>
          </cell>
          <cell r="AB461">
            <v>0</v>
          </cell>
          <cell r="AC461">
            <v>-0.34699853587119378</v>
          </cell>
          <cell r="AD461">
            <v>-2.6895983867859852E-2</v>
          </cell>
          <cell r="AE461" t="e">
            <v>#N/A</v>
          </cell>
          <cell r="AF461">
            <v>0</v>
          </cell>
          <cell r="AG461" t="e">
            <v>#N/A</v>
          </cell>
          <cell r="AH461" t="e">
            <v>#N/A</v>
          </cell>
          <cell r="AI461">
            <v>279</v>
          </cell>
          <cell r="AJ461">
            <v>0</v>
          </cell>
          <cell r="AK461" t="str">
            <v>solv.Less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</row>
        <row r="462">
          <cell r="K462" t="str">
            <v>SO24-2400</v>
          </cell>
          <cell r="L462" t="str">
            <v>NAUCERA INSTANT COFFEE PREMIX 1KG (NEW)ORANGE</v>
          </cell>
          <cell r="M462" t="str">
            <v>C24-2379</v>
          </cell>
          <cell r="O462" t="str">
            <v>COMPLETED</v>
          </cell>
          <cell r="P462">
            <v>115.60000000000001</v>
          </cell>
          <cell r="Q462">
            <v>11.56</v>
          </cell>
          <cell r="R462">
            <v>10000</v>
          </cell>
          <cell r="S462" t="str">
            <v>NO</v>
          </cell>
          <cell r="T462">
            <v>22.484587751568924</v>
          </cell>
          <cell r="U462">
            <v>1.6624709978387058</v>
          </cell>
          <cell r="V462">
            <v>135.76493440979982</v>
          </cell>
          <cell r="W462" t="str">
            <v>NO</v>
          </cell>
          <cell r="X462">
            <v>27</v>
          </cell>
          <cell r="Y462">
            <v>1.9963326629598961</v>
          </cell>
          <cell r="Z462">
            <v>0</v>
          </cell>
          <cell r="AA462" t="str">
            <v>NO</v>
          </cell>
          <cell r="AB462">
            <v>0</v>
          </cell>
          <cell r="AC462">
            <v>-4.5154122484310761</v>
          </cell>
          <cell r="AD462">
            <v>-0.33386166512119048</v>
          </cell>
          <cell r="AE462">
            <v>0.78</v>
          </cell>
          <cell r="AF462">
            <v>0</v>
          </cell>
          <cell r="AG462">
            <v>0</v>
          </cell>
          <cell r="AH462">
            <v>0</v>
          </cell>
          <cell r="AI462">
            <v>27</v>
          </cell>
          <cell r="AJ462">
            <v>0</v>
          </cell>
          <cell r="AK462" t="str">
            <v>solv.Less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</row>
        <row r="463">
          <cell r="K463" t="str">
            <v>SO24-2383</v>
          </cell>
          <cell r="L463" t="str">
            <v>Everyday Spice Haldi 500g</v>
          </cell>
          <cell r="M463" t="str">
            <v>C24-2387</v>
          </cell>
          <cell r="O463" t="str">
            <v>COMPLETED</v>
          </cell>
          <cell r="P463">
            <v>2000</v>
          </cell>
          <cell r="Q463">
            <v>1</v>
          </cell>
          <cell r="R463">
            <v>2000</v>
          </cell>
          <cell r="S463" t="str">
            <v>KG</v>
          </cell>
          <cell r="T463">
            <v>440.62499999999994</v>
          </cell>
          <cell r="U463">
            <v>30.241935483870972</v>
          </cell>
          <cell r="V463" t="e">
            <v>#N/A</v>
          </cell>
          <cell r="W463" t="str">
            <v>KG</v>
          </cell>
          <cell r="X463">
            <v>442</v>
          </cell>
          <cell r="Y463">
            <v>30.336307481125601</v>
          </cell>
          <cell r="Z463">
            <v>0</v>
          </cell>
          <cell r="AA463" t="str">
            <v>KG</v>
          </cell>
          <cell r="AB463">
            <v>0</v>
          </cell>
          <cell r="AC463">
            <v>-1.3750000000000568</v>
          </cell>
          <cell r="AD463">
            <v>-9.4371997254636714E-2</v>
          </cell>
          <cell r="AE463" t="e">
            <v>#N/A</v>
          </cell>
          <cell r="AF463">
            <v>0</v>
          </cell>
          <cell r="AG463" t="e">
            <v>#N/A</v>
          </cell>
          <cell r="AH463" t="e">
            <v>#N/A</v>
          </cell>
          <cell r="AI463">
            <v>442</v>
          </cell>
          <cell r="AJ463">
            <v>0</v>
          </cell>
          <cell r="AK463" t="str">
            <v>solv.Less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</row>
        <row r="464">
          <cell r="K464" t="str">
            <v>SO24-2363</v>
          </cell>
          <cell r="L464" t="str">
            <v>SUSHU PABE BAKES[12PET/85 PE-N-PEELABLE]</v>
          </cell>
          <cell r="M464" t="str">
            <v>C24-2402</v>
          </cell>
          <cell r="O464" t="str">
            <v>COMPLETED</v>
          </cell>
          <cell r="P464">
            <v>300</v>
          </cell>
          <cell r="Q464">
            <v>1</v>
          </cell>
          <cell r="R464">
            <v>300</v>
          </cell>
          <cell r="S464" t="str">
            <v>KG</v>
          </cell>
          <cell r="T464">
            <v>57.389969293756387</v>
          </cell>
          <cell r="U464">
            <v>3.7709421968431829</v>
          </cell>
          <cell r="V464">
            <v>300.14691169305496</v>
          </cell>
          <cell r="W464" t="str">
            <v>KG</v>
          </cell>
          <cell r="X464">
            <v>59</v>
          </cell>
          <cell r="Y464">
            <v>3.876733031079572</v>
          </cell>
          <cell r="Z464">
            <v>0</v>
          </cell>
          <cell r="AA464" t="str">
            <v>KG</v>
          </cell>
          <cell r="AB464">
            <v>0</v>
          </cell>
          <cell r="AC464">
            <v>-1.610030706243613</v>
          </cell>
          <cell r="AD464">
            <v>-0.1057908342363896</v>
          </cell>
          <cell r="AE464">
            <v>0.84</v>
          </cell>
          <cell r="AF464">
            <v>0</v>
          </cell>
          <cell r="AG464">
            <v>0</v>
          </cell>
          <cell r="AH464">
            <v>0</v>
          </cell>
          <cell r="AI464">
            <v>59</v>
          </cell>
          <cell r="AJ464">
            <v>0</v>
          </cell>
          <cell r="AK464" t="str">
            <v>solv.Less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</row>
        <row r="465">
          <cell r="K465" t="str">
            <v>SO24-2381</v>
          </cell>
          <cell r="L465" t="str">
            <v>SQUARE ONE JUNGLE MASTI RS.5/-</v>
          </cell>
          <cell r="M465" t="str">
            <v>C24-2403</v>
          </cell>
          <cell r="O465" t="str">
            <v>COMPLETED</v>
          </cell>
          <cell r="P465">
            <v>1000</v>
          </cell>
          <cell r="Q465">
            <v>1</v>
          </cell>
          <cell r="R465">
            <v>1000</v>
          </cell>
          <cell r="S465" t="str">
            <v>KG</v>
          </cell>
          <cell r="T465">
            <v>261.85770750988144</v>
          </cell>
          <cell r="U465">
            <v>14.984704292410955</v>
          </cell>
          <cell r="V465" t="e">
            <v>#N/A</v>
          </cell>
          <cell r="W465" t="str">
            <v>KG</v>
          </cell>
          <cell r="X465">
            <v>283</v>
          </cell>
          <cell r="Y465">
            <v>16.194563662374822</v>
          </cell>
          <cell r="Z465">
            <v>0</v>
          </cell>
          <cell r="AA465" t="str">
            <v>KG</v>
          </cell>
          <cell r="AB465">
            <v>0</v>
          </cell>
          <cell r="AC465">
            <v>-21.142292490118564</v>
          </cell>
          <cell r="AD465">
            <v>-1.2098593699638662</v>
          </cell>
          <cell r="AE465" t="e">
            <v>#N/A</v>
          </cell>
          <cell r="AF465">
            <v>0</v>
          </cell>
          <cell r="AG465" t="e">
            <v>#N/A</v>
          </cell>
          <cell r="AH465" t="e">
            <v>#N/A</v>
          </cell>
          <cell r="AI465">
            <v>283</v>
          </cell>
          <cell r="AJ465">
            <v>0</v>
          </cell>
          <cell r="AK465">
            <v>0</v>
          </cell>
          <cell r="AL465">
            <v>673.95191040843224</v>
          </cell>
          <cell r="AM465">
            <v>711</v>
          </cell>
          <cell r="AN465">
            <v>711</v>
          </cell>
          <cell r="AO465">
            <v>0</v>
          </cell>
        </row>
        <row r="466">
          <cell r="K466" t="str">
            <v>SO24-2372</v>
          </cell>
          <cell r="L466" t="str">
            <v>NEZONE GR8 MULTI GRAIN PAPDI CHAT RS-5 (R1)</v>
          </cell>
          <cell r="M466" t="str">
            <v>C24-2405</v>
          </cell>
          <cell r="O466" t="str">
            <v>COMPLETED</v>
          </cell>
          <cell r="P466">
            <v>2000</v>
          </cell>
          <cell r="Q466">
            <v>1</v>
          </cell>
          <cell r="R466">
            <v>2000</v>
          </cell>
          <cell r="S466" t="str">
            <v>KG</v>
          </cell>
          <cell r="T466">
            <v>484.38184663536776</v>
          </cell>
          <cell r="U466">
            <v>38.354726948718643</v>
          </cell>
          <cell r="V466" t="e">
            <v>#N/A</v>
          </cell>
          <cell r="W466" t="str">
            <v>KG</v>
          </cell>
          <cell r="X466">
            <v>490</v>
          </cell>
          <cell r="Y466">
            <v>38.799588249267558</v>
          </cell>
          <cell r="Z466">
            <v>0</v>
          </cell>
          <cell r="AA466" t="str">
            <v>KG</v>
          </cell>
          <cell r="AB466">
            <v>0</v>
          </cell>
          <cell r="AC466">
            <v>-5.618153364632235</v>
          </cell>
          <cell r="AD466">
            <v>-0.44486130054891398</v>
          </cell>
          <cell r="AE466" t="e">
            <v>#N/A</v>
          </cell>
          <cell r="AF466">
            <v>0</v>
          </cell>
          <cell r="AG466" t="e">
            <v>#N/A</v>
          </cell>
          <cell r="AH466" t="e">
            <v>#N/A</v>
          </cell>
          <cell r="AI466">
            <v>490</v>
          </cell>
          <cell r="AJ466">
            <v>0</v>
          </cell>
          <cell r="AK466" t="str">
            <v>Extrusion</v>
          </cell>
          <cell r="AL466">
            <v>1267.9524256651016</v>
          </cell>
          <cell r="AM466">
            <v>1234</v>
          </cell>
          <cell r="AN466">
            <v>1234</v>
          </cell>
          <cell r="AO466">
            <v>0</v>
          </cell>
        </row>
        <row r="467">
          <cell r="K467" t="str">
            <v>SO24-2296</v>
          </cell>
          <cell r="L467" t="str">
            <v>Bikaji Lite Jhalmuri Rs.5/-(240mm) R1</v>
          </cell>
          <cell r="M467" t="str">
            <v>C24-2424</v>
          </cell>
          <cell r="O467" t="str">
            <v>COMPLETED</v>
          </cell>
          <cell r="P467">
            <v>4000</v>
          </cell>
          <cell r="Q467">
            <v>1</v>
          </cell>
          <cell r="R467">
            <v>4000</v>
          </cell>
          <cell r="S467" t="str">
            <v>KG</v>
          </cell>
          <cell r="T467">
            <v>1019.0876738919444</v>
          </cell>
          <cell r="U467">
            <v>68.97378503498777</v>
          </cell>
          <cell r="V467" t="e">
            <v>#N/A</v>
          </cell>
          <cell r="W467" t="str">
            <v>KG</v>
          </cell>
          <cell r="X467">
            <v>1022</v>
          </cell>
          <cell r="Y467">
            <v>69.170896785109989</v>
          </cell>
          <cell r="Z467">
            <v>0</v>
          </cell>
          <cell r="AA467" t="str">
            <v>KG</v>
          </cell>
          <cell r="AB467">
            <v>0</v>
          </cell>
          <cell r="AC467">
            <v>-2.9123261080555949</v>
          </cell>
          <cell r="AD467">
            <v>-0.19711175012220608</v>
          </cell>
          <cell r="AE467" t="e">
            <v>#N/A</v>
          </cell>
          <cell r="AF467">
            <v>0</v>
          </cell>
          <cell r="AG467" t="e">
            <v>#N/A</v>
          </cell>
          <cell r="AH467" t="e">
            <v>#N/A</v>
          </cell>
          <cell r="AI467">
            <v>1022</v>
          </cell>
          <cell r="AJ467">
            <v>0</v>
          </cell>
          <cell r="AK467" t="str">
            <v>Extrusion</v>
          </cell>
          <cell r="AL467">
            <v>2688.7609187965054</v>
          </cell>
          <cell r="AM467">
            <v>2874</v>
          </cell>
          <cell r="AN467">
            <v>2874</v>
          </cell>
          <cell r="AO467">
            <v>0</v>
          </cell>
        </row>
        <row r="468">
          <cell r="K468" t="str">
            <v>SO24-2302</v>
          </cell>
          <cell r="L468" t="str">
            <v>BIKAJI PANEER BHUJIA Rs.10(240MM)54Gsm R1</v>
          </cell>
          <cell r="M468" t="str">
            <v>C24-2427</v>
          </cell>
          <cell r="O468" t="str">
            <v>COMPLETED</v>
          </cell>
          <cell r="P468">
            <v>2000</v>
          </cell>
          <cell r="Q468">
            <v>1</v>
          </cell>
          <cell r="R468">
            <v>2000</v>
          </cell>
          <cell r="S468" t="str">
            <v>KG</v>
          </cell>
          <cell r="T468">
            <v>509.5438369459722</v>
          </cell>
          <cell r="U468">
            <v>34.486892517493885</v>
          </cell>
          <cell r="V468" t="e">
            <v>#N/A</v>
          </cell>
          <cell r="W468" t="str">
            <v>KG</v>
          </cell>
          <cell r="X468">
            <v>511</v>
          </cell>
          <cell r="Y468">
            <v>34.585448392554994</v>
          </cell>
          <cell r="Z468">
            <v>0</v>
          </cell>
          <cell r="AA468" t="str">
            <v>KG</v>
          </cell>
          <cell r="AB468">
            <v>0</v>
          </cell>
          <cell r="AC468">
            <v>-1.4561630540277974</v>
          </cell>
          <cell r="AD468">
            <v>-9.855587506110304E-2</v>
          </cell>
          <cell r="AE468" t="e">
            <v>#N/A</v>
          </cell>
          <cell r="AF468">
            <v>0</v>
          </cell>
          <cell r="AG468" t="e">
            <v>#N/A</v>
          </cell>
          <cell r="AH468" t="e">
            <v>#N/A</v>
          </cell>
          <cell r="AI468">
            <v>511</v>
          </cell>
          <cell r="AJ468">
            <v>0</v>
          </cell>
          <cell r="AK468" t="str">
            <v>Extrusion</v>
          </cell>
          <cell r="AL468">
            <v>1344.3804593982527</v>
          </cell>
          <cell r="AM468">
            <v>1396</v>
          </cell>
          <cell r="AN468">
            <v>1396</v>
          </cell>
          <cell r="AO468">
            <v>0</v>
          </cell>
        </row>
        <row r="469">
          <cell r="K469" t="str">
            <v>SO24-2451</v>
          </cell>
          <cell r="L469" t="str">
            <v>JOWAI DAIRY 500 ML R1</v>
          </cell>
          <cell r="M469" t="str">
            <v>C24-2433</v>
          </cell>
          <cell r="O469" t="str">
            <v>COMPLETED</v>
          </cell>
          <cell r="P469">
            <v>1000</v>
          </cell>
          <cell r="Q469">
            <v>1</v>
          </cell>
          <cell r="R469">
            <v>1000</v>
          </cell>
          <cell r="S469" t="str">
            <v>KG</v>
          </cell>
          <cell r="T469">
            <v>1000</v>
          </cell>
          <cell r="U469">
            <v>26.350461133069825</v>
          </cell>
          <cell r="V469">
            <v>942.10977701543732</v>
          </cell>
          <cell r="W469" t="str">
            <v>KG</v>
          </cell>
          <cell r="X469">
            <v>1014</v>
          </cell>
          <cell r="Y469">
            <v>26.719367588932805</v>
          </cell>
          <cell r="Z469">
            <v>0</v>
          </cell>
          <cell r="AA469" t="str">
            <v>KG</v>
          </cell>
          <cell r="AB469">
            <v>0</v>
          </cell>
          <cell r="AC469">
            <v>-14</v>
          </cell>
          <cell r="AD469">
            <v>-0.3689064558629776</v>
          </cell>
          <cell r="AE469">
            <v>0.65</v>
          </cell>
          <cell r="AF469">
            <v>0</v>
          </cell>
          <cell r="AG469">
            <v>0</v>
          </cell>
          <cell r="AH469">
            <v>0</v>
          </cell>
          <cell r="AI469">
            <v>1014</v>
          </cell>
          <cell r="AJ469">
            <v>0</v>
          </cell>
          <cell r="AK469" t="str">
            <v>Slitting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</row>
        <row r="470">
          <cell r="K470" t="str">
            <v>SO24-2378</v>
          </cell>
          <cell r="L470" t="str">
            <v>Abhinav Spicy Noodles Bhujia Rs 2/-</v>
          </cell>
          <cell r="M470" t="str">
            <v>C24-2438</v>
          </cell>
          <cell r="O470" t="str">
            <v>COMPLETED</v>
          </cell>
          <cell r="P470">
            <v>2500</v>
          </cell>
          <cell r="Q470">
            <v>1</v>
          </cell>
          <cell r="R470">
            <v>2500</v>
          </cell>
          <cell r="S470" t="str">
            <v>KG</v>
          </cell>
          <cell r="T470">
            <v>813.95348837209292</v>
          </cell>
          <cell r="U470">
            <v>62.419746040804675</v>
          </cell>
          <cell r="V470" t="e">
            <v>#N/A</v>
          </cell>
          <cell r="W470" t="str">
            <v>KG</v>
          </cell>
          <cell r="X470">
            <v>714</v>
          </cell>
          <cell r="Y470">
            <v>54.75460122699387</v>
          </cell>
          <cell r="Z470">
            <v>99.95348837209292</v>
          </cell>
          <cell r="AA470" t="str">
            <v>KG</v>
          </cell>
          <cell r="AB470">
            <v>7.6651448138108051</v>
          </cell>
          <cell r="AC470">
            <v>99.95348837209292</v>
          </cell>
          <cell r="AD470">
            <v>7.6651448138108069</v>
          </cell>
          <cell r="AE470" t="e">
            <v>#N/A</v>
          </cell>
          <cell r="AF470">
            <v>0</v>
          </cell>
          <cell r="AG470" t="e">
            <v>#N/A</v>
          </cell>
          <cell r="AH470" t="e">
            <v>#N/A</v>
          </cell>
          <cell r="AI470">
            <v>714</v>
          </cell>
          <cell r="AJ470">
            <v>0</v>
          </cell>
          <cell r="AK470" t="str">
            <v>solv.Less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</row>
        <row r="471">
          <cell r="K471" t="str">
            <v>SO24-2379</v>
          </cell>
          <cell r="L471" t="str">
            <v>Abhinav Noodles Bhujia Rs 2/- R1</v>
          </cell>
          <cell r="M471" t="str">
            <v>C24-2439</v>
          </cell>
          <cell r="O471" t="str">
            <v>COMPLETED</v>
          </cell>
          <cell r="P471">
            <v>2500</v>
          </cell>
          <cell r="Q471">
            <v>1</v>
          </cell>
          <cell r="R471">
            <v>2500</v>
          </cell>
          <cell r="S471" t="str">
            <v>KG</v>
          </cell>
          <cell r="T471">
            <v>813.95348837209292</v>
          </cell>
          <cell r="U471">
            <v>62.419746040804675</v>
          </cell>
          <cell r="V471" t="e">
            <v>#N/A</v>
          </cell>
          <cell r="W471" t="str">
            <v>KG</v>
          </cell>
          <cell r="X471">
            <v>860</v>
          </cell>
          <cell r="Y471">
            <v>65.950920245398777</v>
          </cell>
          <cell r="Z471">
            <v>0</v>
          </cell>
          <cell r="AA471" t="str">
            <v>KG</v>
          </cell>
          <cell r="AB471">
            <v>0</v>
          </cell>
          <cell r="AC471">
            <v>-46.04651162790708</v>
          </cell>
          <cell r="AD471">
            <v>-3.5311742045941013</v>
          </cell>
          <cell r="AE471" t="e">
            <v>#N/A</v>
          </cell>
          <cell r="AF471">
            <v>0</v>
          </cell>
          <cell r="AG471" t="e">
            <v>#N/A</v>
          </cell>
          <cell r="AH471" t="e">
            <v>#N/A</v>
          </cell>
          <cell r="AI471">
            <v>860</v>
          </cell>
          <cell r="AJ471">
            <v>0</v>
          </cell>
          <cell r="AK471" t="str">
            <v>solv.Less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</row>
        <row r="472">
          <cell r="K472" t="str">
            <v>SO24-2403</v>
          </cell>
          <cell r="L472" t="str">
            <v>Amrit Foods SuperFine Maida 500g</v>
          </cell>
          <cell r="M472" t="str">
            <v>C24-2441</v>
          </cell>
          <cell r="O472" t="str">
            <v>COMPLETED</v>
          </cell>
          <cell r="P472">
            <v>1900</v>
          </cell>
          <cell r="Q472">
            <v>1</v>
          </cell>
          <cell r="R472">
            <v>1900</v>
          </cell>
          <cell r="S472" t="str">
            <v>KG</v>
          </cell>
          <cell r="T472">
            <v>495.61758548499648</v>
          </cell>
          <cell r="U472">
            <v>40.946594967365876</v>
          </cell>
          <cell r="V472" t="e">
            <v>#N/A</v>
          </cell>
          <cell r="W472" t="str">
            <v>KG</v>
          </cell>
          <cell r="X472">
            <v>418</v>
          </cell>
          <cell r="Y472">
            <v>34.534038334434896</v>
          </cell>
          <cell r="Z472">
            <v>77.617585484996482</v>
          </cell>
          <cell r="AA472" t="str">
            <v>KG</v>
          </cell>
          <cell r="AB472">
            <v>6.4125566329309791</v>
          </cell>
          <cell r="AC472">
            <v>77.617585484996482</v>
          </cell>
          <cell r="AD472">
            <v>6.4125566329309729</v>
          </cell>
          <cell r="AE472" t="e">
            <v>#N/A</v>
          </cell>
          <cell r="AF472">
            <v>0</v>
          </cell>
          <cell r="AG472" t="e">
            <v>#N/A</v>
          </cell>
          <cell r="AH472" t="e">
            <v>#N/A</v>
          </cell>
          <cell r="AI472">
            <v>418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</row>
        <row r="473">
          <cell r="K473" t="str">
            <v>SO24-2404</v>
          </cell>
          <cell r="L473" t="str">
            <v>Amrit Foods SuperFine Maida 1kg</v>
          </cell>
          <cell r="M473" t="str">
            <v>C24-2442</v>
          </cell>
          <cell r="O473" t="str">
            <v>COMPLETED</v>
          </cell>
          <cell r="P473">
            <v>1600</v>
          </cell>
          <cell r="Q473">
            <v>1</v>
          </cell>
          <cell r="R473">
            <v>1600</v>
          </cell>
          <cell r="S473" t="str">
            <v>KG</v>
          </cell>
          <cell r="T473">
            <v>417.36217725052336</v>
          </cell>
          <cell r="U473">
            <v>27.42375827915917</v>
          </cell>
          <cell r="V473" t="e">
            <v>#N/A</v>
          </cell>
          <cell r="W473" t="str">
            <v>KG</v>
          </cell>
          <cell r="X473">
            <v>440</v>
          </cell>
          <cell r="Y473">
            <v>28.91122938432223</v>
          </cell>
          <cell r="Z473">
            <v>0</v>
          </cell>
          <cell r="AA473" t="str">
            <v>KG</v>
          </cell>
          <cell r="AB473">
            <v>0</v>
          </cell>
          <cell r="AC473">
            <v>-22.637822749476641</v>
          </cell>
          <cell r="AD473">
            <v>-1.4874711051630622</v>
          </cell>
          <cell r="AE473" t="e">
            <v>#N/A</v>
          </cell>
          <cell r="AF473">
            <v>0</v>
          </cell>
          <cell r="AG473" t="e">
            <v>#N/A</v>
          </cell>
          <cell r="AH473" t="e">
            <v>#N/A</v>
          </cell>
          <cell r="AI473">
            <v>440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</row>
        <row r="474">
          <cell r="K474" t="str">
            <v>SO24-2406</v>
          </cell>
          <cell r="L474" t="str">
            <v>Amrit Foods SuperFine Atta 2kg</v>
          </cell>
          <cell r="M474" t="str">
            <v>C24-2444</v>
          </cell>
          <cell r="O474" t="str">
            <v>COMPLETED</v>
          </cell>
          <cell r="P474">
            <v>5000</v>
          </cell>
          <cell r="Q474">
            <v>1</v>
          </cell>
          <cell r="R474">
            <v>5000</v>
          </cell>
          <cell r="S474" t="str">
            <v>KG</v>
          </cell>
          <cell r="T474">
            <v>1140.6038200862599</v>
          </cell>
          <cell r="U474">
            <v>61.911948113025034</v>
          </cell>
          <cell r="V474" t="e">
            <v>#N/A</v>
          </cell>
          <cell r="W474" t="str">
            <v>KG</v>
          </cell>
          <cell r="X474">
            <v>1184</v>
          </cell>
          <cell r="Y474">
            <v>64.26749172230366</v>
          </cell>
          <cell r="Z474">
            <v>0</v>
          </cell>
          <cell r="AA474" t="str">
            <v>KG</v>
          </cell>
          <cell r="AB474">
            <v>0</v>
          </cell>
          <cell r="AC474">
            <v>-43.39617991374007</v>
          </cell>
          <cell r="AD474">
            <v>-2.3555436092786235</v>
          </cell>
          <cell r="AE474" t="e">
            <v>#N/A</v>
          </cell>
          <cell r="AF474">
            <v>0</v>
          </cell>
          <cell r="AG474" t="e">
            <v>#N/A</v>
          </cell>
          <cell r="AH474" t="e">
            <v>#N/A</v>
          </cell>
          <cell r="AI474">
            <v>1184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</row>
        <row r="475">
          <cell r="K475" t="str">
            <v>SO24-2407</v>
          </cell>
          <cell r="L475" t="str">
            <v>AMRIT FOODS SUJI 500G</v>
          </cell>
          <cell r="M475" t="str">
            <v>C24-2445</v>
          </cell>
          <cell r="O475" t="str">
            <v>COMPLETED</v>
          </cell>
          <cell r="P475">
            <v>3000</v>
          </cell>
          <cell r="Q475">
            <v>1</v>
          </cell>
          <cell r="R475">
            <v>3000</v>
          </cell>
          <cell r="S475" t="str">
            <v>KG</v>
          </cell>
          <cell r="T475">
            <v>826.14084507042242</v>
          </cell>
          <cell r="U475">
            <v>43.508576209733647</v>
          </cell>
          <cell r="V475" t="e">
            <v>#N/A</v>
          </cell>
          <cell r="W475" t="str">
            <v>KG</v>
          </cell>
          <cell r="X475">
            <v>865</v>
          </cell>
          <cell r="Y475">
            <v>45.555087423635982</v>
          </cell>
          <cell r="Z475">
            <v>0</v>
          </cell>
          <cell r="AA475" t="str">
            <v>KG</v>
          </cell>
          <cell r="AB475">
            <v>0</v>
          </cell>
          <cell r="AC475">
            <v>-38.859154929577585</v>
          </cell>
          <cell r="AD475">
            <v>-2.0465112139023378</v>
          </cell>
          <cell r="AE475" t="e">
            <v>#N/A</v>
          </cell>
          <cell r="AF475">
            <v>0</v>
          </cell>
          <cell r="AG475" t="e">
            <v>#N/A</v>
          </cell>
          <cell r="AH475" t="e">
            <v>#N/A</v>
          </cell>
          <cell r="AI475">
            <v>865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</row>
        <row r="476">
          <cell r="K476" t="str">
            <v>SO24-2444</v>
          </cell>
          <cell r="L476" t="str">
            <v>Nowalty Masala Chai 200g  Standup Zipper Pouch </v>
          </cell>
          <cell r="M476" t="str">
            <v>C24-2457</v>
          </cell>
          <cell r="O476" t="str">
            <v>COMPLETED</v>
          </cell>
          <cell r="P476">
            <v>318.90000000000003</v>
          </cell>
          <cell r="Q476">
            <v>10.63</v>
          </cell>
          <cell r="R476">
            <v>30000</v>
          </cell>
          <cell r="S476" t="str">
            <v>NO</v>
          </cell>
          <cell r="T476">
            <v>52.111639072847687</v>
          </cell>
          <cell r="U476">
            <v>4.862974904147789</v>
          </cell>
          <cell r="V476" t="e">
            <v>#N/A</v>
          </cell>
          <cell r="W476" t="str">
            <v>NO</v>
          </cell>
          <cell r="X476">
            <v>56</v>
          </cell>
          <cell r="Y476">
            <v>5.2258305337812629</v>
          </cell>
          <cell r="Z476">
            <v>0</v>
          </cell>
          <cell r="AA476" t="str">
            <v>NO</v>
          </cell>
          <cell r="AB476">
            <v>0</v>
          </cell>
          <cell r="AC476">
            <v>-3.8883609271523127</v>
          </cell>
          <cell r="AD476">
            <v>-0.36285562963347456</v>
          </cell>
          <cell r="AE476" t="e">
            <v>#N/A</v>
          </cell>
          <cell r="AF476">
            <v>0</v>
          </cell>
          <cell r="AG476" t="e">
            <v>#N/A</v>
          </cell>
          <cell r="AH476" t="e">
            <v>#N/A</v>
          </cell>
          <cell r="AI476">
            <v>56</v>
          </cell>
          <cell r="AJ476">
            <v>0</v>
          </cell>
          <cell r="AK476" t="str">
            <v>solv.Less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</row>
        <row r="477">
          <cell r="K477" t="str">
            <v>SO24-2418</v>
          </cell>
          <cell r="L477" t="str">
            <v>NON STOP HARA MATAR 10/-(240*140)</v>
          </cell>
          <cell r="M477" t="str">
            <v>C24-2459</v>
          </cell>
          <cell r="O477" t="str">
            <v>COMPLETED</v>
          </cell>
          <cell r="P477">
            <v>1000</v>
          </cell>
          <cell r="Q477">
            <v>1</v>
          </cell>
          <cell r="R477">
            <v>1000</v>
          </cell>
          <cell r="S477" t="str">
            <v>KG</v>
          </cell>
          <cell r="T477">
            <v>259.38735177865613</v>
          </cell>
          <cell r="U477">
            <v>17.555827531550332</v>
          </cell>
          <cell r="V477" t="e">
            <v>#N/A</v>
          </cell>
          <cell r="W477" t="str">
            <v>KG</v>
          </cell>
          <cell r="X477">
            <v>264</v>
          </cell>
          <cell r="Y477">
            <v>17.868020304568528</v>
          </cell>
          <cell r="Z477">
            <v>0</v>
          </cell>
          <cell r="AA477" t="str">
            <v>KG</v>
          </cell>
          <cell r="AB477">
            <v>0</v>
          </cell>
          <cell r="AC477">
            <v>-4.6126482213438749</v>
          </cell>
          <cell r="AD477">
            <v>-0.31219277301819798</v>
          </cell>
          <cell r="AE477" t="e">
            <v>#N/A</v>
          </cell>
          <cell r="AF477">
            <v>0</v>
          </cell>
          <cell r="AG477" t="e">
            <v>#N/A</v>
          </cell>
          <cell r="AH477" t="e">
            <v>#N/A</v>
          </cell>
          <cell r="AI477">
            <v>264</v>
          </cell>
          <cell r="AJ477">
            <v>0</v>
          </cell>
          <cell r="AK477" t="str">
            <v>Extrusion</v>
          </cell>
          <cell r="AL477">
            <v>670.9486166007905</v>
          </cell>
          <cell r="AM477">
            <v>672</v>
          </cell>
          <cell r="AN477">
            <v>672</v>
          </cell>
          <cell r="AO477">
            <v>0</v>
          </cell>
        </row>
        <row r="478">
          <cell r="K478" t="str">
            <v>SO24-2419</v>
          </cell>
          <cell r="L478" t="str">
            <v>Non Stop Jhal muri Rs 5/-</v>
          </cell>
          <cell r="M478" t="str">
            <v>C24-2460</v>
          </cell>
          <cell r="O478" t="str">
            <v>COMPLETED</v>
          </cell>
          <cell r="P478">
            <v>1000</v>
          </cell>
          <cell r="Q478">
            <v>1</v>
          </cell>
          <cell r="R478">
            <v>1000</v>
          </cell>
          <cell r="S478" t="str">
            <v>KG</v>
          </cell>
          <cell r="T478">
            <v>259.38735177865613</v>
          </cell>
          <cell r="U478">
            <v>17.555827531550332</v>
          </cell>
          <cell r="V478" t="e">
            <v>#N/A</v>
          </cell>
          <cell r="W478" t="str">
            <v>KG</v>
          </cell>
          <cell r="X478">
            <v>267</v>
          </cell>
          <cell r="Y478">
            <v>18.071065989847718</v>
          </cell>
          <cell r="Z478">
            <v>0</v>
          </cell>
          <cell r="AA478" t="str">
            <v>KG</v>
          </cell>
          <cell r="AB478">
            <v>0</v>
          </cell>
          <cell r="AC478">
            <v>-7.6126482213438749</v>
          </cell>
          <cell r="AD478">
            <v>-0.51523845829738579</v>
          </cell>
          <cell r="AE478" t="e">
            <v>#N/A</v>
          </cell>
          <cell r="AF478">
            <v>0</v>
          </cell>
          <cell r="AG478" t="e">
            <v>#N/A</v>
          </cell>
          <cell r="AH478" t="e">
            <v>#N/A</v>
          </cell>
          <cell r="AI478">
            <v>267</v>
          </cell>
          <cell r="AJ478">
            <v>0</v>
          </cell>
          <cell r="AK478" t="str">
            <v>Extrusion</v>
          </cell>
          <cell r="AL478">
            <v>667.59387351778651</v>
          </cell>
          <cell r="AM478">
            <v>712</v>
          </cell>
          <cell r="AN478">
            <v>712</v>
          </cell>
          <cell r="AO478">
            <v>0</v>
          </cell>
        </row>
        <row r="479">
          <cell r="K479" t="str">
            <v>SO24-2421</v>
          </cell>
          <cell r="L479" t="str">
            <v>NON- STOP-GOLDEN-PUFF Rs 5/-[8/8/10/19]2.2OD[CW-300MM]</v>
          </cell>
          <cell r="M479" t="str">
            <v>C24-2461</v>
          </cell>
          <cell r="O479" t="str">
            <v>COMPLETED</v>
          </cell>
          <cell r="P479">
            <v>2000</v>
          </cell>
          <cell r="Q479">
            <v>1</v>
          </cell>
          <cell r="R479">
            <v>2000</v>
          </cell>
          <cell r="S479" t="str">
            <v>KG</v>
          </cell>
          <cell r="T479">
            <v>455.85552717986127</v>
          </cell>
          <cell r="U479">
            <v>41.413175305915175</v>
          </cell>
          <cell r="V479">
            <v>2004.3119828247466</v>
          </cell>
          <cell r="W479" t="str">
            <v>KG</v>
          </cell>
          <cell r="X479">
            <v>474</v>
          </cell>
          <cell r="Y479">
            <v>43.06154894390189</v>
          </cell>
          <cell r="Z479">
            <v>0</v>
          </cell>
          <cell r="AA479" t="str">
            <v>KG</v>
          </cell>
          <cell r="AB479">
            <v>0</v>
          </cell>
          <cell r="AC479">
            <v>-18.144472820138731</v>
          </cell>
          <cell r="AD479">
            <v>-1.648373637986712</v>
          </cell>
          <cell r="AE479">
            <v>0.9</v>
          </cell>
          <cell r="AF479">
            <v>0</v>
          </cell>
          <cell r="AG479">
            <v>0</v>
          </cell>
          <cell r="AH479">
            <v>0</v>
          </cell>
          <cell r="AI479">
            <v>474</v>
          </cell>
          <cell r="AJ479">
            <v>0</v>
          </cell>
          <cell r="AK479" t="str">
            <v>Extrusion</v>
          </cell>
          <cell r="AL479">
            <v>1255.9394381612549</v>
          </cell>
          <cell r="AM479">
            <v>1334</v>
          </cell>
          <cell r="AN479">
            <v>1334</v>
          </cell>
          <cell r="AO479">
            <v>0</v>
          </cell>
        </row>
        <row r="480">
          <cell r="K480" t="str">
            <v>SO24-2420</v>
          </cell>
          <cell r="L480" t="str">
            <v>NON STOP MOOG DAL  RS 10/-</v>
          </cell>
          <cell r="M480" t="str">
            <v>C24-2462</v>
          </cell>
          <cell r="O480" t="str">
            <v>COMPLETED</v>
          </cell>
          <cell r="P480">
            <v>1000</v>
          </cell>
          <cell r="Q480">
            <v>1</v>
          </cell>
          <cell r="R480">
            <v>1000</v>
          </cell>
          <cell r="S480" t="str">
            <v>KG</v>
          </cell>
          <cell r="T480">
            <v>259.38735177865613</v>
          </cell>
          <cell r="U480">
            <v>17.555827531550332</v>
          </cell>
          <cell r="V480">
            <v>1004.9244325256201</v>
          </cell>
          <cell r="W480" t="str">
            <v>KG</v>
          </cell>
          <cell r="X480">
            <v>270</v>
          </cell>
          <cell r="Y480">
            <v>18.274111675126903</v>
          </cell>
          <cell r="Z480">
            <v>0</v>
          </cell>
          <cell r="AA480" t="str">
            <v>KG</v>
          </cell>
          <cell r="AB480">
            <v>0</v>
          </cell>
          <cell r="AC480">
            <v>-10.612648221343875</v>
          </cell>
          <cell r="AD480">
            <v>-0.71828414357657355</v>
          </cell>
          <cell r="AE480">
            <v>0.96</v>
          </cell>
          <cell r="AF480">
            <v>0</v>
          </cell>
          <cell r="AG480">
            <v>0</v>
          </cell>
          <cell r="AH480">
            <v>0</v>
          </cell>
          <cell r="AI480">
            <v>270</v>
          </cell>
          <cell r="AJ480">
            <v>0</v>
          </cell>
          <cell r="AK480" t="str">
            <v>Extrusion</v>
          </cell>
          <cell r="AL480">
            <v>670.9486166007905</v>
          </cell>
          <cell r="AM480">
            <v>664</v>
          </cell>
          <cell r="AN480">
            <v>664</v>
          </cell>
          <cell r="AO480">
            <v>0</v>
          </cell>
        </row>
        <row r="481">
          <cell r="K481" t="str">
            <v>SO24-2422</v>
          </cell>
          <cell r="L481" t="str">
            <v xml:space="preserve">NON STOP. KRUNCH SPICY STIX Rs5/-[C.G]  CW 275MM </v>
          </cell>
          <cell r="M481" t="str">
            <v>C24-2463</v>
          </cell>
          <cell r="O481" t="str">
            <v>COMPLETED</v>
          </cell>
          <cell r="P481">
            <v>1000</v>
          </cell>
          <cell r="Q481">
            <v>1</v>
          </cell>
          <cell r="R481">
            <v>1000</v>
          </cell>
          <cell r="S481" t="str">
            <v>KG</v>
          </cell>
          <cell r="T481">
            <v>259.38735177865613</v>
          </cell>
          <cell r="U481">
            <v>15.371102327624067</v>
          </cell>
          <cell r="V481">
            <v>996.97911949685545</v>
          </cell>
          <cell r="W481" t="str">
            <v>KG</v>
          </cell>
          <cell r="X481">
            <v>267</v>
          </cell>
          <cell r="Y481">
            <v>15.822222222222223</v>
          </cell>
          <cell r="Z481">
            <v>0</v>
          </cell>
          <cell r="AA481" t="str">
            <v>KG</v>
          </cell>
          <cell r="AB481">
            <v>0</v>
          </cell>
          <cell r="AC481">
            <v>-7.6126482213438749</v>
          </cell>
          <cell r="AD481">
            <v>-0.45111989459815555</v>
          </cell>
          <cell r="AE481">
            <v>1.1000000000000001</v>
          </cell>
          <cell r="AF481">
            <v>0</v>
          </cell>
          <cell r="AG481">
            <v>0</v>
          </cell>
          <cell r="AH481">
            <v>0</v>
          </cell>
          <cell r="AI481">
            <v>267</v>
          </cell>
          <cell r="AJ481">
            <v>0</v>
          </cell>
          <cell r="AK481" t="str">
            <v>Extrusion</v>
          </cell>
          <cell r="AL481">
            <v>667.59387351778651</v>
          </cell>
          <cell r="AM481">
            <v>703</v>
          </cell>
          <cell r="AN481">
            <v>703</v>
          </cell>
          <cell r="AO481">
            <v>0</v>
          </cell>
        </row>
        <row r="482">
          <cell r="K482" t="str">
            <v>SO24-2424</v>
          </cell>
          <cell r="L482" t="str">
            <v>Non Stop Pipe Rs 5/- (285X190)</v>
          </cell>
          <cell r="M482" t="str">
            <v>C24-2465</v>
          </cell>
          <cell r="O482" t="str">
            <v>COMPLETED</v>
          </cell>
          <cell r="P482">
            <v>1500</v>
          </cell>
          <cell r="Q482">
            <v>1</v>
          </cell>
          <cell r="R482">
            <v>1500</v>
          </cell>
          <cell r="S482" t="str">
            <v>KG</v>
          </cell>
          <cell r="T482">
            <v>389.08102766798419</v>
          </cell>
          <cell r="U482">
            <v>22.265008736365335</v>
          </cell>
          <cell r="V482" t="e">
            <v>#N/A</v>
          </cell>
          <cell r="W482" t="str">
            <v>KG</v>
          </cell>
          <cell r="X482">
            <v>398</v>
          </cell>
          <cell r="Y482">
            <v>22.775393419170243</v>
          </cell>
          <cell r="Z482">
            <v>0</v>
          </cell>
          <cell r="AA482" t="str">
            <v>KG</v>
          </cell>
          <cell r="AB482">
            <v>0</v>
          </cell>
          <cell r="AC482">
            <v>-8.9189723320158123</v>
          </cell>
          <cell r="AD482">
            <v>-0.51038468280491056</v>
          </cell>
          <cell r="AE482" t="e">
            <v>#N/A</v>
          </cell>
          <cell r="AF482">
            <v>0</v>
          </cell>
          <cell r="AG482" t="e">
            <v>#N/A</v>
          </cell>
          <cell r="AH482" t="e">
            <v>#N/A</v>
          </cell>
          <cell r="AI482">
            <v>398</v>
          </cell>
          <cell r="AJ482">
            <v>0</v>
          </cell>
          <cell r="AK482" t="str">
            <v>Extrusion</v>
          </cell>
          <cell r="AL482">
            <v>1001.39081027668</v>
          </cell>
          <cell r="AM482">
            <v>1042</v>
          </cell>
          <cell r="AN482">
            <v>1042</v>
          </cell>
          <cell r="AO482">
            <v>0</v>
          </cell>
        </row>
        <row r="483">
          <cell r="K483" t="str">
            <v>SO24-2427</v>
          </cell>
          <cell r="L483" t="str">
            <v>Non Stop Ring Mamooz Tomato Rs 5/- (275X165) R1</v>
          </cell>
          <cell r="M483" t="str">
            <v>C24-2468</v>
          </cell>
          <cell r="O483" t="str">
            <v>COMPLETED</v>
          </cell>
          <cell r="P483">
            <v>1500</v>
          </cell>
          <cell r="Q483">
            <v>1</v>
          </cell>
          <cell r="R483">
            <v>1500</v>
          </cell>
          <cell r="S483" t="str">
            <v>KG</v>
          </cell>
          <cell r="T483">
            <v>389.08102766798419</v>
          </cell>
          <cell r="U483">
            <v>23.056653491436101</v>
          </cell>
          <cell r="V483" t="e">
            <v>#N/A</v>
          </cell>
          <cell r="W483" t="str">
            <v>KG</v>
          </cell>
          <cell r="X483">
            <v>393</v>
          </cell>
          <cell r="Y483">
            <v>23.288888888888888</v>
          </cell>
          <cell r="Z483">
            <v>0</v>
          </cell>
          <cell r="AA483" t="str">
            <v>KG</v>
          </cell>
          <cell r="AB483">
            <v>0</v>
          </cell>
          <cell r="AC483">
            <v>-3.9189723320158123</v>
          </cell>
          <cell r="AD483">
            <v>-0.2322353974527889</v>
          </cell>
          <cell r="AE483" t="e">
            <v>#N/A</v>
          </cell>
          <cell r="AF483">
            <v>0</v>
          </cell>
          <cell r="AG483" t="e">
            <v>#N/A</v>
          </cell>
          <cell r="AH483" t="e">
            <v>#N/A</v>
          </cell>
          <cell r="AI483">
            <v>393</v>
          </cell>
          <cell r="AJ483">
            <v>0</v>
          </cell>
          <cell r="AK483" t="str">
            <v>Extrusion</v>
          </cell>
          <cell r="AL483">
            <v>1001.39081027668</v>
          </cell>
          <cell r="AM483">
            <v>1011</v>
          </cell>
          <cell r="AN483">
            <v>1011</v>
          </cell>
          <cell r="AO483">
            <v>0</v>
          </cell>
        </row>
        <row r="484">
          <cell r="K484" t="str">
            <v>SO24-2367</v>
          </cell>
          <cell r="L484" t="str">
            <v>ITC Sunfeast ML 225g (Orissa container promo - Oct'24)FPBI05448</v>
          </cell>
          <cell r="M484" t="str">
            <v>C24-2470</v>
          </cell>
          <cell r="O484" t="str">
            <v>COMPLETED</v>
          </cell>
          <cell r="P484">
            <v>6000</v>
          </cell>
          <cell r="Q484">
            <v>1</v>
          </cell>
          <cell r="R484">
            <v>6000</v>
          </cell>
          <cell r="S484" t="str">
            <v>KG</v>
          </cell>
          <cell r="T484">
            <v>2920.7547169811319</v>
          </cell>
          <cell r="U484">
            <v>158.99936400254398</v>
          </cell>
          <cell r="V484" t="e">
            <v>#N/A</v>
          </cell>
          <cell r="W484" t="str">
            <v>KG</v>
          </cell>
          <cell r="X484">
            <v>2943</v>
          </cell>
          <cell r="Y484">
            <v>160.2103475307029</v>
          </cell>
          <cell r="Z484">
            <v>0</v>
          </cell>
          <cell r="AA484" t="str">
            <v>KG</v>
          </cell>
          <cell r="AB484">
            <v>0</v>
          </cell>
          <cell r="AC484">
            <v>-22.245283018868122</v>
          </cell>
          <cell r="AD484">
            <v>-1.2109835281589214</v>
          </cell>
          <cell r="AE484" t="e">
            <v>#N/A</v>
          </cell>
          <cell r="AF484">
            <v>0</v>
          </cell>
          <cell r="AG484" t="e">
            <v>#N/A</v>
          </cell>
          <cell r="AH484" t="e">
            <v>#N/A</v>
          </cell>
          <cell r="AI484">
            <v>2943</v>
          </cell>
          <cell r="AJ484">
            <v>0</v>
          </cell>
          <cell r="AK484" t="str">
            <v>solv.Less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</row>
        <row r="485">
          <cell r="K485" t="str">
            <v>SO24-2458</v>
          </cell>
          <cell r="L485" t="str">
            <v>MAMAJI CREAM FILLED CAKE[VANILLA-2NOS/CHOCOLATE/SREABERRY/ORANGE]  Rs5/-</v>
          </cell>
          <cell r="M485" t="str">
            <v>C24-2474</v>
          </cell>
          <cell r="O485" t="str">
            <v>COMPLETED</v>
          </cell>
          <cell r="P485">
            <v>1200</v>
          </cell>
          <cell r="Q485">
            <v>1</v>
          </cell>
          <cell r="R485">
            <v>1200</v>
          </cell>
          <cell r="S485" t="str">
            <v>KG</v>
          </cell>
          <cell r="T485">
            <v>307.62124711316397</v>
          </cell>
          <cell r="U485">
            <v>22.470507458960114</v>
          </cell>
          <cell r="V485">
            <v>1188.0540816185894</v>
          </cell>
          <cell r="W485" t="str">
            <v>KG</v>
          </cell>
          <cell r="X485">
            <v>316</v>
          </cell>
          <cell r="Y485">
            <v>23.082542001460919</v>
          </cell>
          <cell r="Z485">
            <v>0</v>
          </cell>
          <cell r="AA485" t="str">
            <v>KG</v>
          </cell>
          <cell r="AB485">
            <v>0</v>
          </cell>
          <cell r="AC485">
            <v>-8.3787528868360255</v>
          </cell>
          <cell r="AD485">
            <v>-0.61203454250080536</v>
          </cell>
          <cell r="AE485">
            <v>0.9</v>
          </cell>
          <cell r="AF485">
            <v>0</v>
          </cell>
          <cell r="AG485">
            <v>0</v>
          </cell>
          <cell r="AH485">
            <v>0</v>
          </cell>
          <cell r="AI485">
            <v>316</v>
          </cell>
          <cell r="AJ485">
            <v>0</v>
          </cell>
          <cell r="AK485" t="str">
            <v>Extrusion</v>
          </cell>
          <cell r="AL485">
            <v>798.40184757505767</v>
          </cell>
          <cell r="AM485">
            <v>851</v>
          </cell>
          <cell r="AN485">
            <v>851</v>
          </cell>
          <cell r="AO485">
            <v>0</v>
          </cell>
        </row>
        <row r="486">
          <cell r="K486" t="str">
            <v>SO24-2463</v>
          </cell>
          <cell r="L486" t="str">
            <v>DIAMOND PREMIUM- RICE BRAN OIL  1000ML[110mic poly]</v>
          </cell>
          <cell r="M486" t="str">
            <v>C24-2475</v>
          </cell>
          <cell r="O486" t="str">
            <v>COMPLETED</v>
          </cell>
          <cell r="P486">
            <v>500</v>
          </cell>
          <cell r="Q486">
            <v>1</v>
          </cell>
          <cell r="R486">
            <v>500</v>
          </cell>
          <cell r="S486" t="str">
            <v>KG</v>
          </cell>
          <cell r="T486">
            <v>500</v>
          </cell>
          <cell r="U486">
            <v>7.2150072150072146</v>
          </cell>
          <cell r="V486">
            <v>707.97598627787295</v>
          </cell>
          <cell r="W486" t="str">
            <v>KG</v>
          </cell>
          <cell r="X486">
            <v>508</v>
          </cell>
          <cell r="Y486">
            <v>7.3304473304473294</v>
          </cell>
          <cell r="Z486">
            <v>0</v>
          </cell>
          <cell r="AA486" t="str">
            <v>KG</v>
          </cell>
          <cell r="AB486">
            <v>0</v>
          </cell>
          <cell r="AC486">
            <v>-8</v>
          </cell>
          <cell r="AD486">
            <v>-0.11544011544011544</v>
          </cell>
          <cell r="AE486">
            <v>0.97499999999999998</v>
          </cell>
          <cell r="AF486">
            <v>0</v>
          </cell>
          <cell r="AG486">
            <v>0</v>
          </cell>
          <cell r="AH486">
            <v>0</v>
          </cell>
          <cell r="AI486">
            <v>508</v>
          </cell>
          <cell r="AJ486">
            <v>0</v>
          </cell>
          <cell r="AK486" t="str">
            <v>Slitting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</row>
        <row r="487">
          <cell r="K487" t="str">
            <v>SO24-2464</v>
          </cell>
          <cell r="L487" t="str">
            <v>DIAMOND- PREMIUM RICE BRAN OIL  500ML[  110micron poly]</v>
          </cell>
          <cell r="M487" t="str">
            <v>C24-2476</v>
          </cell>
          <cell r="O487" t="str">
            <v>COMPLETED</v>
          </cell>
          <cell r="P487">
            <v>700</v>
          </cell>
          <cell r="Q487">
            <v>1</v>
          </cell>
          <cell r="R487">
            <v>700</v>
          </cell>
          <cell r="S487" t="str">
            <v>KG</v>
          </cell>
          <cell r="T487">
            <v>700</v>
          </cell>
          <cell r="U487">
            <v>10.1010101010101</v>
          </cell>
          <cell r="V487">
            <v>975.55746140651786</v>
          </cell>
          <cell r="W487" t="str">
            <v>KG</v>
          </cell>
          <cell r="X487">
            <v>700</v>
          </cell>
          <cell r="Y487">
            <v>10.1010101010101</v>
          </cell>
          <cell r="Z487">
            <v>0</v>
          </cell>
          <cell r="AA487" t="str">
            <v>KG</v>
          </cell>
          <cell r="AB487">
            <v>0</v>
          </cell>
          <cell r="AC487">
            <v>0</v>
          </cell>
          <cell r="AD487">
            <v>0</v>
          </cell>
          <cell r="AE487">
            <v>0.97499999999999998</v>
          </cell>
          <cell r="AF487">
            <v>0</v>
          </cell>
          <cell r="AG487">
            <v>0</v>
          </cell>
          <cell r="AH487">
            <v>0</v>
          </cell>
          <cell r="AI487">
            <v>700</v>
          </cell>
          <cell r="AJ487">
            <v>0</v>
          </cell>
          <cell r="AK487" t="str">
            <v>Slitting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</row>
        <row r="488">
          <cell r="K488" t="str">
            <v>SO24-2467</v>
          </cell>
          <cell r="L488" t="str">
            <v>DIAMOND RICE- BRAN OIL  100ML[95mic]</v>
          </cell>
          <cell r="M488" t="str">
            <v>C24-2479</v>
          </cell>
          <cell r="O488" t="str">
            <v>COMPLETED</v>
          </cell>
          <cell r="P488">
            <v>1500</v>
          </cell>
          <cell r="Q488">
            <v>1</v>
          </cell>
          <cell r="R488">
            <v>1500</v>
          </cell>
          <cell r="S488" t="str">
            <v>KG</v>
          </cell>
          <cell r="T488">
            <v>1500</v>
          </cell>
          <cell r="U488">
            <v>24.129818423116365</v>
          </cell>
          <cell r="V488">
            <v>1383.2805398705411</v>
          </cell>
          <cell r="W488" t="str">
            <v>KG</v>
          </cell>
          <cell r="X488">
            <v>1488</v>
          </cell>
          <cell r="Y488">
            <v>23.936779875731432</v>
          </cell>
          <cell r="Z488">
            <v>12</v>
          </cell>
          <cell r="AA488" t="str">
            <v>KG</v>
          </cell>
          <cell r="AB488">
            <v>0.19303854738493342</v>
          </cell>
          <cell r="AC488">
            <v>12</v>
          </cell>
          <cell r="AD488">
            <v>0.19303854738493093</v>
          </cell>
          <cell r="AE488">
            <v>0.67500000000000004</v>
          </cell>
          <cell r="AF488">
            <v>0</v>
          </cell>
          <cell r="AG488">
            <v>0</v>
          </cell>
          <cell r="AH488">
            <v>0</v>
          </cell>
          <cell r="AI488">
            <v>1488</v>
          </cell>
          <cell r="AJ488">
            <v>0</v>
          </cell>
          <cell r="AK488" t="str">
            <v>Slitting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</row>
        <row r="489">
          <cell r="K489" t="str">
            <v>SO24-2468</v>
          </cell>
          <cell r="L489" t="str">
            <v>DIAMOND RICE BRAN OIL  200ML</v>
          </cell>
          <cell r="M489" t="str">
            <v>C24-2480</v>
          </cell>
          <cell r="O489" t="str">
            <v>COMPLETED</v>
          </cell>
          <cell r="P489">
            <v>500</v>
          </cell>
          <cell r="Q489">
            <v>1</v>
          </cell>
          <cell r="R489">
            <v>500</v>
          </cell>
          <cell r="S489" t="str">
            <v>KG</v>
          </cell>
          <cell r="T489">
            <v>500</v>
          </cell>
          <cell r="U489">
            <v>8.0432728077054545</v>
          </cell>
          <cell r="V489">
            <v>498.27847403938847</v>
          </cell>
          <cell r="W489" t="str">
            <v>KG</v>
          </cell>
          <cell r="X489">
            <v>536</v>
          </cell>
          <cell r="Y489">
            <v>8.6223884498602477</v>
          </cell>
          <cell r="Z489">
            <v>0</v>
          </cell>
          <cell r="AA489" t="str">
            <v>KG</v>
          </cell>
          <cell r="AB489">
            <v>0</v>
          </cell>
          <cell r="AC489">
            <v>-36</v>
          </cell>
          <cell r="AD489">
            <v>-0.57911564215479272</v>
          </cell>
          <cell r="AE489">
            <v>0.67500000000000004</v>
          </cell>
          <cell r="AF489">
            <v>0</v>
          </cell>
          <cell r="AG489">
            <v>0</v>
          </cell>
          <cell r="AH489">
            <v>0</v>
          </cell>
          <cell r="AI489">
            <v>536</v>
          </cell>
          <cell r="AJ489">
            <v>0</v>
          </cell>
          <cell r="AK489" t="str">
            <v>Slitting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</row>
        <row r="490">
          <cell r="K490" t="str">
            <v>SO24-2469</v>
          </cell>
          <cell r="L490" t="str">
            <v>DIAMOND RICE BRAN OIL  500ML[110MIC]</v>
          </cell>
          <cell r="M490" t="str">
            <v>C24-2481</v>
          </cell>
          <cell r="O490" t="str">
            <v>COMPLETED</v>
          </cell>
          <cell r="P490">
            <v>700</v>
          </cell>
          <cell r="Q490">
            <v>1</v>
          </cell>
          <cell r="R490">
            <v>700</v>
          </cell>
          <cell r="S490" t="str">
            <v>KG</v>
          </cell>
          <cell r="T490">
            <v>700</v>
          </cell>
          <cell r="U490">
            <v>10.1010101010101</v>
          </cell>
          <cell r="V490">
            <v>862.67152658662087</v>
          </cell>
          <cell r="W490" t="str">
            <v>KG</v>
          </cell>
          <cell r="X490">
            <v>619</v>
          </cell>
          <cell r="Y490">
            <v>8.9321789321789318</v>
          </cell>
          <cell r="Z490">
            <v>81</v>
          </cell>
          <cell r="AA490" t="str">
            <v>KG</v>
          </cell>
          <cell r="AB490">
            <v>1.1688311688311686</v>
          </cell>
          <cell r="AC490">
            <v>81</v>
          </cell>
          <cell r="AD490">
            <v>1.1688311688311688</v>
          </cell>
          <cell r="AE490">
            <v>0.97499999999999998</v>
          </cell>
          <cell r="AF490">
            <v>0</v>
          </cell>
          <cell r="AG490">
            <v>0</v>
          </cell>
          <cell r="AH490">
            <v>0</v>
          </cell>
          <cell r="AI490">
            <v>619</v>
          </cell>
          <cell r="AJ490">
            <v>0</v>
          </cell>
          <cell r="AK490" t="str">
            <v>Slitting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</row>
        <row r="491">
          <cell r="K491" t="str">
            <v>SO24-2480</v>
          </cell>
          <cell r="L491" t="str">
            <v>Bounce DC Strawberry vanila 60g Sep 24(FPBI05320)</v>
          </cell>
          <cell r="M491" t="str">
            <v>C24-2484</v>
          </cell>
          <cell r="O491" t="str">
            <v>COMPLETED</v>
          </cell>
          <cell r="P491">
            <v>2000</v>
          </cell>
          <cell r="Q491">
            <v>1</v>
          </cell>
          <cell r="R491">
            <v>2000</v>
          </cell>
          <cell r="S491" t="str">
            <v>KG</v>
          </cell>
          <cell r="T491">
            <v>779.32816537467693</v>
          </cell>
          <cell r="U491">
            <v>53.479373160039593</v>
          </cell>
          <cell r="V491" t="e">
            <v>#N/A</v>
          </cell>
          <cell r="W491" t="str">
            <v>KG</v>
          </cell>
          <cell r="X491">
            <v>806</v>
          </cell>
          <cell r="Y491">
            <v>55.309658603534061</v>
          </cell>
          <cell r="Z491">
            <v>0</v>
          </cell>
          <cell r="AA491" t="str">
            <v>KG</v>
          </cell>
          <cell r="AB491">
            <v>0</v>
          </cell>
          <cell r="AC491">
            <v>-26.671834625323072</v>
          </cell>
          <cell r="AD491">
            <v>-1.8302854434944638</v>
          </cell>
          <cell r="AE491" t="e">
            <v>#N/A</v>
          </cell>
          <cell r="AF491">
            <v>0</v>
          </cell>
          <cell r="AG491" t="e">
            <v>#N/A</v>
          </cell>
          <cell r="AH491" t="e">
            <v>#N/A</v>
          </cell>
          <cell r="AI491">
            <v>806</v>
          </cell>
          <cell r="AJ491">
            <v>0</v>
          </cell>
          <cell r="AK491" t="str">
            <v>Extrusion</v>
          </cell>
          <cell r="AL491">
            <v>2017.6</v>
          </cell>
          <cell r="AM491">
            <v>2122</v>
          </cell>
          <cell r="AN491">
            <v>2122</v>
          </cell>
          <cell r="AO491">
            <v>0</v>
          </cell>
        </row>
        <row r="492">
          <cell r="K492" t="str">
            <v>SO24-2481</v>
          </cell>
          <cell r="L492" t="str">
            <v>Bounce DC Choco vanila 60g Sep 24(FPBI05322)</v>
          </cell>
          <cell r="M492" t="str">
            <v>C24-2485</v>
          </cell>
          <cell r="O492" t="str">
            <v>COMPLETED</v>
          </cell>
          <cell r="P492">
            <v>1500</v>
          </cell>
          <cell r="Q492">
            <v>1</v>
          </cell>
          <cell r="R492">
            <v>1500</v>
          </cell>
          <cell r="S492" t="str">
            <v>KG</v>
          </cell>
          <cell r="T492">
            <v>584.49612403100775</v>
          </cell>
          <cell r="U492">
            <v>40.109529870029696</v>
          </cell>
          <cell r="V492" t="e">
            <v>#N/A</v>
          </cell>
          <cell r="W492" t="str">
            <v>KG</v>
          </cell>
          <cell r="X492">
            <v>632</v>
          </cell>
          <cell r="Y492">
            <v>43.369360096071368</v>
          </cell>
          <cell r="Z492">
            <v>0</v>
          </cell>
          <cell r="AA492" t="str">
            <v>KG</v>
          </cell>
          <cell r="AB492">
            <v>0</v>
          </cell>
          <cell r="AC492">
            <v>-47.503875968992247</v>
          </cell>
          <cell r="AD492">
            <v>-3.2598302260416712</v>
          </cell>
          <cell r="AE492" t="e">
            <v>#N/A</v>
          </cell>
          <cell r="AF492">
            <v>0</v>
          </cell>
          <cell r="AG492" t="e">
            <v>#N/A</v>
          </cell>
          <cell r="AH492" t="e">
            <v>#N/A</v>
          </cell>
          <cell r="AI492">
            <v>632</v>
          </cell>
          <cell r="AJ492">
            <v>0</v>
          </cell>
          <cell r="AK492" t="str">
            <v>Extrusion</v>
          </cell>
          <cell r="AL492">
            <v>1513.2000000000003</v>
          </cell>
          <cell r="AM492">
            <v>1654</v>
          </cell>
          <cell r="AN492">
            <v>1654</v>
          </cell>
          <cell r="AO492">
            <v>0</v>
          </cell>
        </row>
        <row r="493">
          <cell r="K493" t="str">
            <v>SO24-2482</v>
          </cell>
          <cell r="L493" t="str">
            <v>Bounce DC Orange vanila 60g Sep 24(FPBI05324)</v>
          </cell>
          <cell r="M493" t="str">
            <v>C24-2486</v>
          </cell>
          <cell r="O493" t="str">
            <v>COMPLETED</v>
          </cell>
          <cell r="P493">
            <v>1500</v>
          </cell>
          <cell r="Q493">
            <v>1</v>
          </cell>
          <cell r="R493">
            <v>1500</v>
          </cell>
          <cell r="S493" t="str">
            <v>KG</v>
          </cell>
          <cell r="T493">
            <v>584.49612403100775</v>
          </cell>
          <cell r="U493">
            <v>40.109529870029696</v>
          </cell>
          <cell r="V493" t="e">
            <v>#N/A</v>
          </cell>
          <cell r="W493" t="str">
            <v>KG</v>
          </cell>
          <cell r="X493">
            <v>598</v>
          </cell>
          <cell r="Y493">
            <v>41.036198318751076</v>
          </cell>
          <cell r="Z493">
            <v>0</v>
          </cell>
          <cell r="AA493" t="str">
            <v>KG</v>
          </cell>
          <cell r="AB493">
            <v>0</v>
          </cell>
          <cell r="AC493">
            <v>-13.503875968992247</v>
          </cell>
          <cell r="AD493">
            <v>-0.92666844872137577</v>
          </cell>
          <cell r="AE493" t="e">
            <v>#N/A</v>
          </cell>
          <cell r="AF493">
            <v>0</v>
          </cell>
          <cell r="AG493" t="e">
            <v>#N/A</v>
          </cell>
          <cell r="AH493" t="e">
            <v>#N/A</v>
          </cell>
          <cell r="AI493">
            <v>598</v>
          </cell>
          <cell r="AJ493">
            <v>0</v>
          </cell>
          <cell r="AK493" t="str">
            <v>Extrusion</v>
          </cell>
          <cell r="AL493">
            <v>1513.2000000000003</v>
          </cell>
          <cell r="AM493">
            <v>1584</v>
          </cell>
          <cell r="AN493">
            <v>1584</v>
          </cell>
          <cell r="AO493">
            <v>0</v>
          </cell>
        </row>
        <row r="494">
          <cell r="K494" t="str">
            <v>SO24-2483</v>
          </cell>
          <cell r="L494" t="str">
            <v>Rose Star Mustard Oil 500ml</v>
          </cell>
          <cell r="M494" t="str">
            <v>C24-2487</v>
          </cell>
          <cell r="O494" t="str">
            <v>COMPLETED</v>
          </cell>
          <cell r="P494">
            <v>300</v>
          </cell>
          <cell r="Q494">
            <v>1</v>
          </cell>
          <cell r="R494">
            <v>300</v>
          </cell>
          <cell r="S494" t="str">
            <v>KG</v>
          </cell>
          <cell r="T494">
            <v>300</v>
          </cell>
          <cell r="U494">
            <v>4.329004329004329</v>
          </cell>
          <cell r="V494">
            <v>298.24185248713547</v>
          </cell>
          <cell r="W494" t="str">
            <v>KG</v>
          </cell>
          <cell r="X494">
            <v>321</v>
          </cell>
          <cell r="Y494">
            <v>4.6320346320346317</v>
          </cell>
          <cell r="Z494">
            <v>0</v>
          </cell>
          <cell r="AA494" t="str">
            <v>KG</v>
          </cell>
          <cell r="AB494">
            <v>0</v>
          </cell>
          <cell r="AC494">
            <v>-21</v>
          </cell>
          <cell r="AD494">
            <v>-0.30303030303030304</v>
          </cell>
          <cell r="AE494">
            <v>0.65</v>
          </cell>
          <cell r="AF494">
            <v>0</v>
          </cell>
          <cell r="AG494">
            <v>0</v>
          </cell>
          <cell r="AH494">
            <v>0</v>
          </cell>
          <cell r="AI494">
            <v>321</v>
          </cell>
          <cell r="AJ494">
            <v>0</v>
          </cell>
          <cell r="AK494" t="str">
            <v>Slitting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</row>
        <row r="495">
          <cell r="K495" t="str">
            <v>SO24-2484</v>
          </cell>
          <cell r="L495" t="str">
            <v>Rose Star Mustard Oil 100ml</v>
          </cell>
          <cell r="M495" t="str">
            <v>C24-2488</v>
          </cell>
          <cell r="O495" t="str">
            <v>COMPLETED</v>
          </cell>
          <cell r="P495">
            <v>300</v>
          </cell>
          <cell r="Q495">
            <v>1</v>
          </cell>
          <cell r="R495">
            <v>300</v>
          </cell>
          <cell r="S495" t="str">
            <v>KG</v>
          </cell>
          <cell r="T495">
            <v>300</v>
          </cell>
          <cell r="U495">
            <v>4.8259636846232725</v>
          </cell>
          <cell r="V495">
            <v>316.07216636826882</v>
          </cell>
          <cell r="W495" t="str">
            <v>KG</v>
          </cell>
          <cell r="X495">
            <v>340</v>
          </cell>
          <cell r="Y495">
            <v>5.4694255092397093</v>
          </cell>
          <cell r="Z495">
            <v>0</v>
          </cell>
          <cell r="AA495" t="str">
            <v>KG</v>
          </cell>
          <cell r="AB495">
            <v>0</v>
          </cell>
          <cell r="AC495">
            <v>-40</v>
          </cell>
          <cell r="AD495">
            <v>-0.64346182461643631</v>
          </cell>
          <cell r="AE495">
            <v>0.67500000000000004</v>
          </cell>
          <cell r="AF495">
            <v>0</v>
          </cell>
          <cell r="AG495">
            <v>0</v>
          </cell>
          <cell r="AH495">
            <v>0</v>
          </cell>
          <cell r="AI495">
            <v>340</v>
          </cell>
          <cell r="AJ495">
            <v>0</v>
          </cell>
          <cell r="AK495" t="str">
            <v>Slitting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</row>
        <row r="496">
          <cell r="K496" t="str">
            <v>SO24-2447</v>
          </cell>
          <cell r="L496" t="str">
            <v>Non Stop Diet Chiwda  RS.5/-(200x150)</v>
          </cell>
          <cell r="M496" t="str">
            <v>C24-2489</v>
          </cell>
          <cell r="O496" t="str">
            <v>COMPLETED</v>
          </cell>
          <cell r="P496">
            <v>1000</v>
          </cell>
          <cell r="Q496">
            <v>1</v>
          </cell>
          <cell r="R496">
            <v>1000</v>
          </cell>
          <cell r="S496" t="str">
            <v>KG</v>
          </cell>
          <cell r="T496">
            <v>258.96086813548175</v>
          </cell>
          <cell r="U496">
            <v>15.345829222843362</v>
          </cell>
          <cell r="V496" t="e">
            <v>#N/A</v>
          </cell>
          <cell r="W496" t="str">
            <v>KG</v>
          </cell>
          <cell r="X496">
            <v>261</v>
          </cell>
          <cell r="Y496">
            <v>15.466666666666667</v>
          </cell>
          <cell r="Z496">
            <v>0</v>
          </cell>
          <cell r="AA496" t="str">
            <v>KG</v>
          </cell>
          <cell r="AB496">
            <v>0</v>
          </cell>
          <cell r="AC496">
            <v>-2.0391318645182537</v>
          </cell>
          <cell r="AD496">
            <v>-0.12083744382330393</v>
          </cell>
          <cell r="AE496" t="e">
            <v>#N/A</v>
          </cell>
          <cell r="AF496">
            <v>0</v>
          </cell>
          <cell r="AG496" t="e">
            <v>#N/A</v>
          </cell>
          <cell r="AH496" t="e">
            <v>#N/A</v>
          </cell>
          <cell r="AI496">
            <v>261</v>
          </cell>
          <cell r="AJ496">
            <v>0</v>
          </cell>
          <cell r="AK496" t="str">
            <v>Extrusion</v>
          </cell>
          <cell r="AL496">
            <v>666.49621834922721</v>
          </cell>
          <cell r="AM496">
            <v>590</v>
          </cell>
          <cell r="AN496">
            <v>590</v>
          </cell>
          <cell r="AO496">
            <v>0</v>
          </cell>
        </row>
        <row r="497">
          <cell r="K497" t="str">
            <v>SO24-2460</v>
          </cell>
          <cell r="L497" t="str">
            <v>Bikaji Masala Chiwda Rs 5/-</v>
          </cell>
          <cell r="M497" t="str">
            <v>C24-2494</v>
          </cell>
          <cell r="O497" t="str">
            <v>COMPLETED</v>
          </cell>
          <cell r="P497">
            <v>2000</v>
          </cell>
          <cell r="Q497">
            <v>1</v>
          </cell>
          <cell r="R497">
            <v>2000</v>
          </cell>
          <cell r="S497" t="str">
            <v>KG</v>
          </cell>
          <cell r="T497">
            <v>509.5438369459722</v>
          </cell>
          <cell r="U497">
            <v>34.486892517493885</v>
          </cell>
          <cell r="V497" t="e">
            <v>#N/A</v>
          </cell>
          <cell r="W497" t="str">
            <v>KG</v>
          </cell>
          <cell r="X497">
            <v>513</v>
          </cell>
          <cell r="Y497">
            <v>34.72081218274112</v>
          </cell>
          <cell r="Z497">
            <v>0</v>
          </cell>
          <cell r="AA497" t="str">
            <v>KG</v>
          </cell>
          <cell r="AB497">
            <v>0</v>
          </cell>
          <cell r="AC497">
            <v>-3.4561630540277974</v>
          </cell>
          <cell r="AD497">
            <v>-0.23391966524722826</v>
          </cell>
          <cell r="AE497" t="e">
            <v>#N/A</v>
          </cell>
          <cell r="AF497">
            <v>0</v>
          </cell>
          <cell r="AG497" t="e">
            <v>#N/A</v>
          </cell>
          <cell r="AH497" t="e">
            <v>#N/A</v>
          </cell>
          <cell r="AI497">
            <v>513</v>
          </cell>
          <cell r="AJ497">
            <v>0</v>
          </cell>
          <cell r="AK497" t="str">
            <v>Extrusion</v>
          </cell>
          <cell r="AL497">
            <v>1344.3804593982527</v>
          </cell>
          <cell r="AM497">
            <v>1385</v>
          </cell>
          <cell r="AN497">
            <v>1385</v>
          </cell>
          <cell r="AO497">
            <v>0</v>
          </cell>
        </row>
        <row r="498">
          <cell r="K498" t="str">
            <v>SO24-2510</v>
          </cell>
          <cell r="L498" t="str">
            <v>Non Stop Ring Mamooz Tomato Rs 5/- (275X165) R1</v>
          </cell>
          <cell r="M498" t="str">
            <v>C24-2505</v>
          </cell>
          <cell r="O498" t="str">
            <v>COMPLETED</v>
          </cell>
          <cell r="P498">
            <v>1500</v>
          </cell>
          <cell r="Q498">
            <v>1</v>
          </cell>
          <cell r="R498">
            <v>1500</v>
          </cell>
          <cell r="S498" t="str">
            <v>KG</v>
          </cell>
          <cell r="T498">
            <v>389.08102766798419</v>
          </cell>
          <cell r="U498">
            <v>23.056653491436101</v>
          </cell>
          <cell r="V498" t="e">
            <v>#N/A</v>
          </cell>
          <cell r="W498" t="str">
            <v>KG</v>
          </cell>
          <cell r="X498">
            <v>395</v>
          </cell>
          <cell r="Y498">
            <v>23.407407407407405</v>
          </cell>
          <cell r="Z498">
            <v>0</v>
          </cell>
          <cell r="AA498" t="str">
            <v>KG</v>
          </cell>
          <cell r="AB498">
            <v>0</v>
          </cell>
          <cell r="AC498">
            <v>-5.9189723320158123</v>
          </cell>
          <cell r="AD498">
            <v>-0.3507539159713074</v>
          </cell>
          <cell r="AE498" t="e">
            <v>#N/A</v>
          </cell>
          <cell r="AF498">
            <v>0</v>
          </cell>
          <cell r="AG498" t="e">
            <v>#N/A</v>
          </cell>
          <cell r="AH498" t="e">
            <v>#N/A</v>
          </cell>
          <cell r="AI498">
            <v>395</v>
          </cell>
          <cell r="AJ498">
            <v>0</v>
          </cell>
          <cell r="AK498" t="str">
            <v>Extrusion</v>
          </cell>
          <cell r="AL498">
            <v>1001.39081027668</v>
          </cell>
          <cell r="AM498">
            <v>1058</v>
          </cell>
          <cell r="AN498">
            <v>1058</v>
          </cell>
          <cell r="AO498">
            <v>0</v>
          </cell>
        </row>
        <row r="499">
          <cell r="K499" t="str">
            <v>SO24-2511</v>
          </cell>
          <cell r="L499" t="str">
            <v>NON- STOP-GOLDEN-PUFF Rs 5/-[8/8/10/19]2.2OD[CW-300MM]</v>
          </cell>
          <cell r="M499" t="str">
            <v>C24-2506</v>
          </cell>
          <cell r="O499" t="str">
            <v>COMPLETED</v>
          </cell>
          <cell r="P499">
            <v>2500</v>
          </cell>
          <cell r="Q499">
            <v>1</v>
          </cell>
          <cell r="R499">
            <v>2500</v>
          </cell>
          <cell r="S499" t="str">
            <v>KG</v>
          </cell>
          <cell r="T499">
            <v>569.81940897482662</v>
          </cell>
          <cell r="U499">
            <v>51.766469132393972</v>
          </cell>
          <cell r="V499">
            <v>2494.8187127987353</v>
          </cell>
          <cell r="W499" t="str">
            <v>KG</v>
          </cell>
          <cell r="X499">
            <v>590</v>
          </cell>
          <cell r="Y499">
            <v>53.599818305700666</v>
          </cell>
          <cell r="Z499">
            <v>0</v>
          </cell>
          <cell r="AA499" t="str">
            <v>KG</v>
          </cell>
          <cell r="AB499">
            <v>0</v>
          </cell>
          <cell r="AC499">
            <v>-20.180591025173385</v>
          </cell>
          <cell r="AD499">
            <v>-1.8333491733066896</v>
          </cell>
          <cell r="AE499">
            <v>0.9</v>
          </cell>
          <cell r="AF499">
            <v>0</v>
          </cell>
          <cell r="AG499">
            <v>0</v>
          </cell>
          <cell r="AH499">
            <v>0</v>
          </cell>
          <cell r="AI499">
            <v>590</v>
          </cell>
          <cell r="AJ499">
            <v>0</v>
          </cell>
          <cell r="AK499" t="str">
            <v>Extrusion</v>
          </cell>
          <cell r="AL499">
            <v>1569.9242977015685</v>
          </cell>
          <cell r="AM499">
            <v>1665</v>
          </cell>
          <cell r="AN499">
            <v>1665</v>
          </cell>
          <cell r="AO499">
            <v>0</v>
          </cell>
        </row>
        <row r="500">
          <cell r="K500" t="str">
            <v>SO24-2471</v>
          </cell>
          <cell r="L500" t="str">
            <v>BR- TTG R 5- TCPL-480mmX53mic(0183) R1</v>
          </cell>
          <cell r="M500" t="str">
            <v>C24-2509</v>
          </cell>
          <cell r="O500" t="str">
            <v>COMPLETED</v>
          </cell>
          <cell r="P500">
            <v>500</v>
          </cell>
          <cell r="Q500">
            <v>1</v>
          </cell>
          <cell r="R500">
            <v>500</v>
          </cell>
          <cell r="S500" t="str">
            <v>KG</v>
          </cell>
          <cell r="T500">
            <v>530</v>
          </cell>
          <cell r="U500">
            <v>11.137214687674675</v>
          </cell>
          <cell r="V500" t="e">
            <v>#N/A</v>
          </cell>
          <cell r="W500" t="str">
            <v>KG</v>
          </cell>
          <cell r="X500">
            <v>489</v>
          </cell>
          <cell r="Y500">
            <v>10.275656570326257</v>
          </cell>
          <cell r="Z500">
            <v>41</v>
          </cell>
          <cell r="AA500" t="str">
            <v>KG</v>
          </cell>
          <cell r="AB500">
            <v>0.8615581173484177</v>
          </cell>
          <cell r="AC500">
            <v>41</v>
          </cell>
          <cell r="AD500">
            <v>0.86155811734841825</v>
          </cell>
          <cell r="AE500" t="e">
            <v>#N/A</v>
          </cell>
          <cell r="AF500">
            <v>0</v>
          </cell>
          <cell r="AG500" t="e">
            <v>#N/A</v>
          </cell>
          <cell r="AH500" t="e">
            <v>#N/A</v>
          </cell>
          <cell r="AI500">
            <v>489</v>
          </cell>
          <cell r="AJ500">
            <v>0</v>
          </cell>
          <cell r="AK500" t="str">
            <v>Slitting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</row>
        <row r="501">
          <cell r="K501" t="str">
            <v>SO24-2473</v>
          </cell>
          <cell r="L501" t="str">
            <v>BR-TTP 250-TT250 gm -Autobundle TCPL Perforated Ptd (600MMX55mic) (0172) R1</v>
          </cell>
          <cell r="M501" t="str">
            <v>C24-2511</v>
          </cell>
          <cell r="O501" t="str">
            <v>COMPLETED</v>
          </cell>
          <cell r="P501">
            <v>800</v>
          </cell>
          <cell r="Q501">
            <v>1</v>
          </cell>
          <cell r="R501">
            <v>800</v>
          </cell>
          <cell r="S501" t="str">
            <v>KG</v>
          </cell>
          <cell r="T501">
            <v>848.00000000000011</v>
          </cell>
          <cell r="U501">
            <v>27.31166865277465</v>
          </cell>
          <cell r="V501" t="e">
            <v>#N/A</v>
          </cell>
          <cell r="W501" t="str">
            <v>KG</v>
          </cell>
          <cell r="X501">
            <v>799</v>
          </cell>
          <cell r="Y501">
            <v>25.733517987696871</v>
          </cell>
          <cell r="Z501">
            <v>49.000000000000114</v>
          </cell>
          <cell r="AA501" t="str">
            <v>KG</v>
          </cell>
          <cell r="AB501">
            <v>1.5781506650777786</v>
          </cell>
          <cell r="AC501">
            <v>49.000000000000114</v>
          </cell>
          <cell r="AD501">
            <v>1.5781506650777841</v>
          </cell>
          <cell r="AE501" t="e">
            <v>#N/A</v>
          </cell>
          <cell r="AF501">
            <v>0</v>
          </cell>
          <cell r="AG501" t="e">
            <v>#N/A</v>
          </cell>
          <cell r="AH501" t="e">
            <v>#N/A</v>
          </cell>
          <cell r="AI501">
            <v>799</v>
          </cell>
          <cell r="AJ501">
            <v>0</v>
          </cell>
          <cell r="AK501" t="str">
            <v>Slitting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</row>
        <row r="502">
          <cell r="K502" t="str">
            <v>SO24-2474</v>
          </cell>
          <cell r="L502" t="str">
            <v>Bundling Roll Tata Tea Premium Rs-5/- Buff(410mmX53mic)(4255)R1</v>
          </cell>
          <cell r="M502" t="str">
            <v>C24-2512</v>
          </cell>
          <cell r="O502" t="str">
            <v>COMPLETED</v>
          </cell>
          <cell r="P502">
            <v>1300</v>
          </cell>
          <cell r="Q502">
            <v>1</v>
          </cell>
          <cell r="R502">
            <v>1300</v>
          </cell>
          <cell r="S502" t="str">
            <v>KG</v>
          </cell>
          <cell r="T502">
            <v>1378</v>
          </cell>
          <cell r="U502">
            <v>33.84103065339221</v>
          </cell>
          <cell r="V502" t="e">
            <v>#N/A</v>
          </cell>
          <cell r="W502" t="str">
            <v>KG</v>
          </cell>
          <cell r="X502">
            <v>1032</v>
          </cell>
          <cell r="Y502">
            <v>25.343935873948304</v>
          </cell>
          <cell r="Z502">
            <v>346</v>
          </cell>
          <cell r="AA502" t="str">
            <v>KG</v>
          </cell>
          <cell r="AB502">
            <v>8.4970947794439056</v>
          </cell>
          <cell r="AC502">
            <v>346</v>
          </cell>
          <cell r="AD502">
            <v>8.4970947794439056</v>
          </cell>
          <cell r="AE502" t="e">
            <v>#N/A</v>
          </cell>
          <cell r="AF502">
            <v>0</v>
          </cell>
          <cell r="AG502" t="e">
            <v>#N/A</v>
          </cell>
          <cell r="AH502" t="e">
            <v>#N/A</v>
          </cell>
          <cell r="AI502">
            <v>1032</v>
          </cell>
          <cell r="AJ502">
            <v>0</v>
          </cell>
          <cell r="AK502" t="str">
            <v>Slitting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</row>
        <row r="503">
          <cell r="K503" t="str">
            <v>SO24-2475</v>
          </cell>
          <cell r="L503" t="str">
            <v>BR- TTP 40 B- TCPL(20000000004360)</v>
          </cell>
          <cell r="M503" t="str">
            <v>C24-2513</v>
          </cell>
          <cell r="O503" t="str">
            <v>COMPLETED</v>
          </cell>
          <cell r="P503">
            <v>1900</v>
          </cell>
          <cell r="Q503">
            <v>1</v>
          </cell>
          <cell r="R503">
            <v>1900</v>
          </cell>
          <cell r="S503" t="str">
            <v>KG</v>
          </cell>
          <cell r="T503">
            <v>2014.0000000000002</v>
          </cell>
          <cell r="U503">
            <v>63.156574367336695</v>
          </cell>
          <cell r="V503" t="e">
            <v>#N/A</v>
          </cell>
          <cell r="W503" t="str">
            <v>KG</v>
          </cell>
          <cell r="X503">
            <v>1706</v>
          </cell>
          <cell r="Y503">
            <v>53.498071435291159</v>
          </cell>
          <cell r="Z503">
            <v>308.00000000000023</v>
          </cell>
          <cell r="AA503" t="str">
            <v>KG</v>
          </cell>
          <cell r="AB503">
            <v>9.6585029320455362</v>
          </cell>
          <cell r="AC503">
            <v>308.00000000000023</v>
          </cell>
          <cell r="AD503">
            <v>9.658502932045538</v>
          </cell>
          <cell r="AE503" t="e">
            <v>#N/A</v>
          </cell>
          <cell r="AF503">
            <v>0</v>
          </cell>
          <cell r="AG503" t="e">
            <v>#N/A</v>
          </cell>
          <cell r="AH503" t="e">
            <v>#N/A</v>
          </cell>
          <cell r="AI503">
            <v>1706</v>
          </cell>
          <cell r="AJ503">
            <v>0</v>
          </cell>
          <cell r="AK503" t="str">
            <v>Slitting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</row>
        <row r="504">
          <cell r="K504" t="str">
            <v>SO24-2476</v>
          </cell>
          <cell r="L504" t="str">
            <v>BR- TTA/TTP 100- TCPL(700mmX53mic)(20000000004821) R1</v>
          </cell>
          <cell r="M504" t="str">
            <v>C24-2514</v>
          </cell>
          <cell r="O504" t="str">
            <v>COMPLETED</v>
          </cell>
          <cell r="P504">
            <v>2300</v>
          </cell>
          <cell r="Q504">
            <v>1</v>
          </cell>
          <cell r="R504">
            <v>2300</v>
          </cell>
          <cell r="S504" t="str">
            <v>KG</v>
          </cell>
          <cell r="T504">
            <v>2438</v>
          </cell>
          <cell r="U504">
            <v>69.991904135780857</v>
          </cell>
          <cell r="V504" t="e">
            <v>#N/A</v>
          </cell>
          <cell r="W504" t="str">
            <v>KG</v>
          </cell>
          <cell r="X504">
            <v>2226</v>
          </cell>
          <cell r="Y504">
            <v>63.905651602234691</v>
          </cell>
          <cell r="Z504">
            <v>212</v>
          </cell>
          <cell r="AA504" t="str">
            <v>KG</v>
          </cell>
          <cell r="AB504">
            <v>6.0862525335461655</v>
          </cell>
          <cell r="AC504">
            <v>212</v>
          </cell>
          <cell r="AD504">
            <v>6.086252533546161</v>
          </cell>
          <cell r="AE504" t="e">
            <v>#N/A</v>
          </cell>
          <cell r="AF504">
            <v>0</v>
          </cell>
          <cell r="AG504" t="e">
            <v>#N/A</v>
          </cell>
          <cell r="AH504" t="e">
            <v>#N/A</v>
          </cell>
          <cell r="AI504">
            <v>2226</v>
          </cell>
          <cell r="AJ504">
            <v>0</v>
          </cell>
          <cell r="AK504" t="str">
            <v>Slitting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</row>
        <row r="505">
          <cell r="K505" t="str">
            <v>SO24-2512</v>
          </cell>
          <cell r="L505" t="str">
            <v>SANGAM OIL [225MM] -Without Net Wt</v>
          </cell>
          <cell r="M505" t="str">
            <v>C24-2516</v>
          </cell>
          <cell r="O505" t="str">
            <v>COMPLETED</v>
          </cell>
          <cell r="P505">
            <v>300</v>
          </cell>
          <cell r="Q505">
            <v>1</v>
          </cell>
          <cell r="R505">
            <v>300</v>
          </cell>
          <cell r="S505" t="str">
            <v>KG</v>
          </cell>
          <cell r="T505">
            <v>300</v>
          </cell>
          <cell r="U505">
            <v>4.8259636846232725</v>
          </cell>
          <cell r="V505">
            <v>286.32419776890231</v>
          </cell>
          <cell r="W505" t="str">
            <v>KG</v>
          </cell>
          <cell r="X505">
            <v>308</v>
          </cell>
          <cell r="Y505">
            <v>4.9546560495465597</v>
          </cell>
          <cell r="Z505">
            <v>0</v>
          </cell>
          <cell r="AA505" t="str">
            <v>KG</v>
          </cell>
          <cell r="AB505">
            <v>0</v>
          </cell>
          <cell r="AC505">
            <v>-8</v>
          </cell>
          <cell r="AD505">
            <v>-0.12869236492328728</v>
          </cell>
          <cell r="AE505">
            <v>0.67500000000000004</v>
          </cell>
          <cell r="AF505">
            <v>0</v>
          </cell>
          <cell r="AG505">
            <v>0</v>
          </cell>
          <cell r="AH505">
            <v>0</v>
          </cell>
          <cell r="AI505">
            <v>308</v>
          </cell>
          <cell r="AJ505">
            <v>0</v>
          </cell>
          <cell r="AK505" t="str">
            <v>Slitting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</row>
        <row r="506">
          <cell r="K506" t="str">
            <v>SO24-2518</v>
          </cell>
          <cell r="L506" t="str">
            <v>GOALZY VEG MASALA SEASONING SINGLE PACK(GREEN)RS 5/-100MM(12/30MET CPP)[PMO21]</v>
          </cell>
          <cell r="M506" t="str">
            <v>C24-2548</v>
          </cell>
          <cell r="O506" t="str">
            <v>COMPLETED</v>
          </cell>
          <cell r="P506">
            <v>500</v>
          </cell>
          <cell r="Q506">
            <v>1</v>
          </cell>
          <cell r="R506">
            <v>500</v>
          </cell>
          <cell r="S506" t="str">
            <v>KG</v>
          </cell>
          <cell r="T506">
            <v>194.10675381263613</v>
          </cell>
          <cell r="U506">
            <v>13.766924629429141</v>
          </cell>
          <cell r="V506">
            <v>530.69726144443791</v>
          </cell>
          <cell r="W506" t="str">
            <v>KG</v>
          </cell>
          <cell r="X506">
            <v>216</v>
          </cell>
          <cell r="Y506">
            <v>15.319692187666234</v>
          </cell>
          <cell r="Z506">
            <v>0</v>
          </cell>
          <cell r="AA506" t="str">
            <v>KG</v>
          </cell>
          <cell r="AB506">
            <v>0</v>
          </cell>
          <cell r="AC506">
            <v>-21.893246187363872</v>
          </cell>
          <cell r="AD506">
            <v>-1.5527675582370917</v>
          </cell>
          <cell r="AE506">
            <v>0.8</v>
          </cell>
          <cell r="AF506">
            <v>0</v>
          </cell>
          <cell r="AG506">
            <v>0</v>
          </cell>
          <cell r="AH506">
            <v>0</v>
          </cell>
          <cell r="AI506">
            <v>216</v>
          </cell>
          <cell r="AJ506">
            <v>0</v>
          </cell>
          <cell r="AK506" t="str">
            <v>solv.Less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</row>
        <row r="507">
          <cell r="K507" t="str">
            <v>SO24-2520</v>
          </cell>
          <cell r="L507" t="str">
            <v>KEEKOO NON VEG SEASONING TWIN PACK 90MM [12/30][SINGLE PACK][PMO44]</v>
          </cell>
          <cell r="M507" t="str">
            <v>C24-2550</v>
          </cell>
          <cell r="O507" t="str">
            <v>COMPLETED</v>
          </cell>
          <cell r="P507">
            <v>500</v>
          </cell>
          <cell r="Q507">
            <v>1</v>
          </cell>
          <cell r="R507">
            <v>500</v>
          </cell>
          <cell r="S507" t="str">
            <v>KG</v>
          </cell>
          <cell r="T507">
            <v>195.57324840764326</v>
          </cell>
          <cell r="U507">
            <v>14.948654621084103</v>
          </cell>
          <cell r="V507">
            <v>491.51440945256633</v>
          </cell>
          <cell r="W507" t="str">
            <v>KG</v>
          </cell>
          <cell r="X507">
            <v>201</v>
          </cell>
          <cell r="Y507">
            <v>15.363448750286635</v>
          </cell>
          <cell r="Z507">
            <v>0</v>
          </cell>
          <cell r="AA507" t="str">
            <v>KG</v>
          </cell>
          <cell r="AB507">
            <v>0</v>
          </cell>
          <cell r="AC507">
            <v>-5.4267515923567373</v>
          </cell>
          <cell r="AD507">
            <v>-0.41479412920253295</v>
          </cell>
          <cell r="AE507">
            <v>0.72</v>
          </cell>
          <cell r="AF507">
            <v>0</v>
          </cell>
          <cell r="AG507">
            <v>0</v>
          </cell>
          <cell r="AH507">
            <v>0</v>
          </cell>
          <cell r="AI507">
            <v>201</v>
          </cell>
          <cell r="AJ507">
            <v>0</v>
          </cell>
          <cell r="AK507" t="str">
            <v>solv.Less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</row>
        <row r="508">
          <cell r="K508" t="str">
            <v>SO24-2521</v>
          </cell>
          <cell r="L508" t="str">
            <v>KEEKOO VEG SEASONING SINGLE PACK RS 5/- 100MM (12/30METCPP)</v>
          </cell>
          <cell r="M508" t="str">
            <v>C24-2551</v>
          </cell>
          <cell r="O508" t="str">
            <v>COMPLETED</v>
          </cell>
          <cell r="P508">
            <v>1500</v>
          </cell>
          <cell r="Q508">
            <v>1</v>
          </cell>
          <cell r="R508">
            <v>1500</v>
          </cell>
          <cell r="S508" t="str">
            <v>KG</v>
          </cell>
          <cell r="T508">
            <v>582.32026143790847</v>
          </cell>
          <cell r="U508">
            <v>41.300773888287431</v>
          </cell>
          <cell r="V508">
            <v>1452.0466736743642</v>
          </cell>
          <cell r="W508" t="str">
            <v>KG</v>
          </cell>
          <cell r="X508">
            <v>591</v>
          </cell>
          <cell r="Y508">
            <v>41.91638001347566</v>
          </cell>
          <cell r="Z508">
            <v>0</v>
          </cell>
          <cell r="AA508" t="str">
            <v>KG</v>
          </cell>
          <cell r="AB508">
            <v>0</v>
          </cell>
          <cell r="AC508">
            <v>-8.6797385620915293</v>
          </cell>
          <cell r="AD508">
            <v>-0.61560612518823588</v>
          </cell>
          <cell r="AE508">
            <v>0.8</v>
          </cell>
          <cell r="AF508">
            <v>0</v>
          </cell>
          <cell r="AG508">
            <v>0</v>
          </cell>
          <cell r="AH508">
            <v>0</v>
          </cell>
          <cell r="AI508">
            <v>591</v>
          </cell>
          <cell r="AJ508">
            <v>0</v>
          </cell>
          <cell r="AK508" t="str">
            <v>solv.Less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</row>
        <row r="509">
          <cell r="K509" t="str">
            <v>SO24-2525</v>
          </cell>
          <cell r="L509" t="str">
            <v>KEEKO VEG SEASONING SINGLE PACK RS.10 [130MM-12/12/30N]</v>
          </cell>
          <cell r="M509" t="str">
            <v>C24-2555</v>
          </cell>
          <cell r="O509" t="str">
            <v>COMPLETED</v>
          </cell>
          <cell r="P509">
            <v>500</v>
          </cell>
          <cell r="Q509">
            <v>1</v>
          </cell>
          <cell r="R509">
            <v>500</v>
          </cell>
          <cell r="S509" t="str">
            <v>KG</v>
          </cell>
          <cell r="T509">
            <v>139.51612903225805</v>
          </cell>
          <cell r="U509">
            <v>10.144045445323595</v>
          </cell>
          <cell r="V509" t="e">
            <v>#N/A</v>
          </cell>
          <cell r="W509" t="str">
            <v>KG</v>
          </cell>
          <cell r="X509">
            <v>144</v>
          </cell>
          <cell r="Y509">
            <v>10.470062165994111</v>
          </cell>
          <cell r="Z509">
            <v>0</v>
          </cell>
          <cell r="AA509" t="str">
            <v>KG</v>
          </cell>
          <cell r="AB509">
            <v>0</v>
          </cell>
          <cell r="AC509">
            <v>-4.4838709677419502</v>
          </cell>
          <cell r="AD509">
            <v>-0.32601672067051668</v>
          </cell>
          <cell r="AE509" t="e">
            <v>#N/A</v>
          </cell>
          <cell r="AF509">
            <v>0</v>
          </cell>
          <cell r="AG509" t="e">
            <v>#N/A</v>
          </cell>
          <cell r="AH509" t="e">
            <v>#N/A</v>
          </cell>
          <cell r="AI509">
            <v>144</v>
          </cell>
          <cell r="AJ509">
            <v>0</v>
          </cell>
          <cell r="AK509" t="str">
            <v>solv.Less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</row>
        <row r="510">
          <cell r="K510" t="str">
            <v>SO24-2359</v>
          </cell>
          <cell r="L510" t="str">
            <v>Doulat High Voltage Rs.5/- (Wh Ext)</v>
          </cell>
          <cell r="M510" t="str">
            <v>C24-2583</v>
          </cell>
          <cell r="O510" t="str">
            <v>COMPLETED</v>
          </cell>
          <cell r="P510">
            <v>2000</v>
          </cell>
          <cell r="Q510">
            <v>1</v>
          </cell>
          <cell r="R510">
            <v>2000</v>
          </cell>
          <cell r="S510" t="str">
            <v>KG</v>
          </cell>
          <cell r="T510">
            <v>518.77470355731225</v>
          </cell>
          <cell r="U510">
            <v>39.982636112316939</v>
          </cell>
          <cell r="V510" t="e">
            <v>#N/A</v>
          </cell>
          <cell r="W510" t="str">
            <v>KG</v>
          </cell>
          <cell r="X510">
            <v>535</v>
          </cell>
          <cell r="Y510">
            <v>41.233140655105977</v>
          </cell>
          <cell r="Z510">
            <v>0</v>
          </cell>
          <cell r="AA510" t="str">
            <v>KG</v>
          </cell>
          <cell r="AB510">
            <v>0</v>
          </cell>
          <cell r="AC510">
            <v>-16.22529644268775</v>
          </cell>
          <cell r="AD510">
            <v>-1.2505045427890367</v>
          </cell>
          <cell r="AE510" t="e">
            <v>#N/A</v>
          </cell>
          <cell r="AF510">
            <v>0</v>
          </cell>
          <cell r="AG510" t="e">
            <v>#N/A</v>
          </cell>
          <cell r="AH510" t="e">
            <v>#N/A</v>
          </cell>
          <cell r="AI510">
            <v>535</v>
          </cell>
          <cell r="AJ510">
            <v>0</v>
          </cell>
          <cell r="AK510" t="str">
            <v>Extrusion</v>
          </cell>
          <cell r="AL510">
            <v>1335.187747035573</v>
          </cell>
          <cell r="AM510">
            <v>1357</v>
          </cell>
          <cell r="AN510">
            <v>1357</v>
          </cell>
          <cell r="AO510">
            <v>0</v>
          </cell>
        </row>
        <row r="511">
          <cell r="K511" t="str">
            <v>SO24-2622</v>
          </cell>
          <cell r="L511" t="str">
            <v>LDPE Ptd. Shrink Film - 300 mm DCP 500g (1222051638)</v>
          </cell>
          <cell r="M511" t="str">
            <v>C24-2637</v>
          </cell>
          <cell r="O511" t="str">
            <v>COMPLETED</v>
          </cell>
          <cell r="P511">
            <v>1700</v>
          </cell>
          <cell r="Q511">
            <v>1</v>
          </cell>
          <cell r="R511">
            <v>1700</v>
          </cell>
          <cell r="S511" t="str">
            <v>KG</v>
          </cell>
          <cell r="T511">
            <v>1700</v>
          </cell>
          <cell r="U511">
            <v>36.91960213699344</v>
          </cell>
          <cell r="V511" t="e">
            <v>#N/A</v>
          </cell>
          <cell r="W511" t="str">
            <v>KG</v>
          </cell>
          <cell r="X511">
            <v>1563</v>
          </cell>
          <cell r="Y511">
            <v>33.9443165530122</v>
          </cell>
          <cell r="Z511">
            <v>137</v>
          </cell>
          <cell r="AA511" t="str">
            <v>KG</v>
          </cell>
          <cell r="AB511">
            <v>2.9752855839812398</v>
          </cell>
          <cell r="AC511">
            <v>137</v>
          </cell>
          <cell r="AD511">
            <v>2.9752855839812358</v>
          </cell>
          <cell r="AE511" t="e">
            <v>#N/A</v>
          </cell>
          <cell r="AF511">
            <v>0</v>
          </cell>
          <cell r="AG511" t="e">
            <v>#N/A</v>
          </cell>
          <cell r="AH511" t="e">
            <v>#N/A</v>
          </cell>
          <cell r="AI511">
            <v>1563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</row>
        <row r="512">
          <cell r="K512" t="str">
            <v>SO24-2030</v>
          </cell>
          <cell r="L512" t="str">
            <v>ITC BINGO TMMRs550%245X161BOPP VTPaGSKu (FPSX02667)</v>
          </cell>
          <cell r="M512" t="str">
            <v>C24-2127</v>
          </cell>
          <cell r="O512" t="str">
            <v>COMPLETED</v>
          </cell>
          <cell r="P512">
            <v>58000</v>
          </cell>
          <cell r="Q512">
            <v>1</v>
          </cell>
          <cell r="R512">
            <v>58000</v>
          </cell>
          <cell r="S512" t="str">
            <v>KG</v>
          </cell>
          <cell r="T512">
            <v>13520.596783569079</v>
          </cell>
          <cell r="U512">
            <v>1185.3154302118551</v>
          </cell>
          <cell r="V512" t="e">
            <v>#N/A</v>
          </cell>
          <cell r="W512" t="str">
            <v>KG</v>
          </cell>
          <cell r="X512">
            <v>13653</v>
          </cell>
          <cell r="Y512">
            <v>1196.9228746137155</v>
          </cell>
          <cell r="Z512">
            <v>0</v>
          </cell>
          <cell r="AA512" t="str">
            <v>KG</v>
          </cell>
          <cell r="AB512">
            <v>0</v>
          </cell>
          <cell r="AC512">
            <v>-132.40321643092102</v>
          </cell>
          <cell r="AD512">
            <v>-11.607444401860391</v>
          </cell>
          <cell r="AE512" t="e">
            <v>#N/A</v>
          </cell>
          <cell r="AF512">
            <v>0</v>
          </cell>
          <cell r="AG512" t="e">
            <v>#N/A</v>
          </cell>
          <cell r="AH512" t="e">
            <v>#N/A</v>
          </cell>
          <cell r="AI512">
            <v>13653</v>
          </cell>
          <cell r="AJ512">
            <v>0</v>
          </cell>
          <cell r="AK512" t="str">
            <v>Extrusion</v>
          </cell>
          <cell r="AL512">
            <v>38536.083317186596</v>
          </cell>
          <cell r="AM512">
            <v>39393</v>
          </cell>
          <cell r="AN512">
            <v>39393</v>
          </cell>
          <cell r="AO512">
            <v>0</v>
          </cell>
        </row>
        <row r="513">
          <cell r="K513" t="str">
            <v>SO24-2145</v>
          </cell>
          <cell r="L513" t="str">
            <v>AXOM TALES[4-in-1][DON/SPIDER MAN/BALOON MAN/APNA TIME AYEGA][10/8/12/25]</v>
          </cell>
          <cell r="M513" t="str">
            <v>C24-2128</v>
          </cell>
          <cell r="O513" t="str">
            <v>COMPLETED</v>
          </cell>
          <cell r="P513">
            <v>1000</v>
          </cell>
          <cell r="Q513">
            <v>1</v>
          </cell>
          <cell r="R513">
            <v>1000</v>
          </cell>
          <cell r="S513" t="str">
            <v>KG</v>
          </cell>
          <cell r="T513">
            <v>242.23602484472048</v>
          </cell>
          <cell r="U513">
            <v>14.103989801730449</v>
          </cell>
          <cell r="V513">
            <v>1010.279311197166</v>
          </cell>
          <cell r="W513" t="str">
            <v>KG</v>
          </cell>
          <cell r="X513">
            <v>255</v>
          </cell>
          <cell r="Y513">
            <v>14.847161572052402</v>
          </cell>
          <cell r="Z513">
            <v>0</v>
          </cell>
          <cell r="AA513" t="str">
            <v>KG</v>
          </cell>
          <cell r="AB513">
            <v>0</v>
          </cell>
          <cell r="AC513">
            <v>-12.763975155279525</v>
          </cell>
          <cell r="AD513">
            <v>-0.74317177032195192</v>
          </cell>
          <cell r="AE513">
            <v>1.1200000000000001</v>
          </cell>
          <cell r="AF513">
            <v>0</v>
          </cell>
          <cell r="AG513">
            <v>0</v>
          </cell>
          <cell r="AH513">
            <v>0</v>
          </cell>
          <cell r="AI513">
            <v>255</v>
          </cell>
          <cell r="AJ513">
            <v>0</v>
          </cell>
          <cell r="AK513" t="str">
            <v>Extrusion</v>
          </cell>
          <cell r="AL513">
            <v>623.45093167701862</v>
          </cell>
          <cell r="AM513">
            <v>612</v>
          </cell>
          <cell r="AN513">
            <v>612</v>
          </cell>
          <cell r="AO513">
            <v>0</v>
          </cell>
        </row>
        <row r="514">
          <cell r="K514" t="str">
            <v>SO24-2146</v>
          </cell>
          <cell r="L514" t="str">
            <v>Axom Tales 3IN 1(Chakna + Punjabi Tadka + Hot &amp; Spicy)</v>
          </cell>
          <cell r="M514" t="str">
            <v>C24-2129</v>
          </cell>
          <cell r="O514" t="str">
            <v>COMPLETED</v>
          </cell>
          <cell r="P514">
            <v>1000</v>
          </cell>
          <cell r="Q514">
            <v>1</v>
          </cell>
          <cell r="R514">
            <v>1000</v>
          </cell>
          <cell r="S514" t="str">
            <v>KG</v>
          </cell>
          <cell r="T514">
            <v>244.56521739130432</v>
          </cell>
          <cell r="U514">
            <v>14.492753623188404</v>
          </cell>
          <cell r="V514" t="e">
            <v>#N/A</v>
          </cell>
          <cell r="W514" t="str">
            <v>KG</v>
          </cell>
          <cell r="X514">
            <v>257</v>
          </cell>
          <cell r="Y514">
            <v>15.229629629629631</v>
          </cell>
          <cell r="Z514">
            <v>0</v>
          </cell>
          <cell r="AA514" t="str">
            <v>KG</v>
          </cell>
          <cell r="AB514">
            <v>0</v>
          </cell>
          <cell r="AC514">
            <v>-12.434782608695684</v>
          </cell>
          <cell r="AD514">
            <v>-0.73687600644122564</v>
          </cell>
          <cell r="AE514" t="e">
            <v>#N/A</v>
          </cell>
          <cell r="AF514">
            <v>0</v>
          </cell>
          <cell r="AG514" t="e">
            <v>#N/A</v>
          </cell>
          <cell r="AH514" t="e">
            <v>#N/A</v>
          </cell>
          <cell r="AI514">
            <v>257</v>
          </cell>
          <cell r="AJ514">
            <v>0</v>
          </cell>
          <cell r="AK514" t="str">
            <v>Extrusion</v>
          </cell>
          <cell r="AL514">
            <v>612.04891304347814</v>
          </cell>
          <cell r="AM514">
            <v>545</v>
          </cell>
          <cell r="AN514">
            <v>545</v>
          </cell>
          <cell r="AO514">
            <v>0</v>
          </cell>
        </row>
        <row r="515">
          <cell r="K515" t="str">
            <v>SO24-2147</v>
          </cell>
          <cell r="L515" t="str">
            <v>AXOM TALES 2IN1- (BIKANERI BHUJIA,SHOCKWAVE CHANACHUR) 4PLY</v>
          </cell>
          <cell r="M515" t="str">
            <v>C24-2130</v>
          </cell>
          <cell r="O515" t="str">
            <v>COMPLETED</v>
          </cell>
          <cell r="P515">
            <v>1000</v>
          </cell>
          <cell r="Q515">
            <v>1</v>
          </cell>
          <cell r="R515">
            <v>1000</v>
          </cell>
          <cell r="S515" t="str">
            <v>KG</v>
          </cell>
          <cell r="T515">
            <v>244.56521739130432</v>
          </cell>
          <cell r="U515">
            <v>15.906680805938493</v>
          </cell>
          <cell r="V515" t="e">
            <v>#N/A</v>
          </cell>
          <cell r="W515" t="str">
            <v>KG</v>
          </cell>
          <cell r="X515">
            <v>251</v>
          </cell>
          <cell r="Y515">
            <v>16.325203252032523</v>
          </cell>
          <cell r="Z515">
            <v>0</v>
          </cell>
          <cell r="AA515" t="str">
            <v>KG</v>
          </cell>
          <cell r="AB515">
            <v>0</v>
          </cell>
          <cell r="AC515">
            <v>-6.4347826086956843</v>
          </cell>
          <cell r="AD515">
            <v>-0.41852244609402833</v>
          </cell>
          <cell r="AE515" t="e">
            <v>#N/A</v>
          </cell>
          <cell r="AF515">
            <v>0</v>
          </cell>
          <cell r="AG515" t="e">
            <v>#N/A</v>
          </cell>
          <cell r="AH515" t="e">
            <v>#N/A</v>
          </cell>
          <cell r="AI515">
            <v>251</v>
          </cell>
          <cell r="AJ515">
            <v>0</v>
          </cell>
          <cell r="AK515" t="str">
            <v>Extrusion</v>
          </cell>
          <cell r="AL515">
            <v>612.04891304347814</v>
          </cell>
          <cell r="AM515">
            <v>639</v>
          </cell>
          <cell r="AN515">
            <v>639</v>
          </cell>
          <cell r="AO515">
            <v>0</v>
          </cell>
        </row>
        <row r="516">
          <cell r="K516" t="str">
            <v>SO24-2198</v>
          </cell>
          <cell r="L516" t="str">
            <v>PTD-TRADITIONAL  POUCH-GREEN-100GM(110X170+40)</v>
          </cell>
          <cell r="M516" t="str">
            <v>C24-2176</v>
          </cell>
          <cell r="O516" t="str">
            <v>COMPLETED</v>
          </cell>
          <cell r="P516">
            <v>150</v>
          </cell>
          <cell r="Q516">
            <v>1</v>
          </cell>
          <cell r="R516">
            <v>150</v>
          </cell>
          <cell r="S516" t="str">
            <v>KG</v>
          </cell>
          <cell r="T516">
            <v>26.721251149953996</v>
          </cell>
          <cell r="U516">
            <v>1.6623896447650865</v>
          </cell>
          <cell r="V516">
            <v>166.12718065738414</v>
          </cell>
          <cell r="W516" t="str">
            <v>KG</v>
          </cell>
          <cell r="X516">
            <v>31</v>
          </cell>
          <cell r="Y516">
            <v>1.928580316038323</v>
          </cell>
          <cell r="Z516">
            <v>0</v>
          </cell>
          <cell r="AA516" t="str">
            <v>KG</v>
          </cell>
          <cell r="AB516">
            <v>0</v>
          </cell>
          <cell r="AC516">
            <v>-4.2787488500460036</v>
          </cell>
          <cell r="AD516">
            <v>-0.26619067127323659</v>
          </cell>
          <cell r="AE516">
            <v>0.84</v>
          </cell>
          <cell r="AF516">
            <v>0</v>
          </cell>
          <cell r="AG516">
            <v>0</v>
          </cell>
          <cell r="AH516">
            <v>0</v>
          </cell>
          <cell r="AI516">
            <v>31</v>
          </cell>
          <cell r="AJ516">
            <v>0</v>
          </cell>
          <cell r="AK516" t="str">
            <v>solv.base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</row>
        <row r="517">
          <cell r="K517" t="str">
            <v>SO24-2199</v>
          </cell>
          <cell r="L517" t="str">
            <v>PTD-TRADITIONAL  POUCH-RED-100GM(110X170+40)</v>
          </cell>
          <cell r="M517" t="str">
            <v>C24-2177</v>
          </cell>
          <cell r="O517" t="str">
            <v>COMPLETED</v>
          </cell>
          <cell r="P517">
            <v>100</v>
          </cell>
          <cell r="Q517">
            <v>1</v>
          </cell>
          <cell r="R517">
            <v>100</v>
          </cell>
          <cell r="S517" t="str">
            <v>KG</v>
          </cell>
          <cell r="T517">
            <v>17.814167433302668</v>
          </cell>
          <cell r="U517">
            <v>1.1082597631767246</v>
          </cell>
          <cell r="V517">
            <v>128.6145914766845</v>
          </cell>
          <cell r="W517" t="str">
            <v>KG</v>
          </cell>
          <cell r="X517">
            <v>24</v>
          </cell>
          <cell r="Y517">
            <v>1.4930944382232179</v>
          </cell>
          <cell r="Z517">
            <v>0</v>
          </cell>
          <cell r="AA517" t="str">
            <v>KG</v>
          </cell>
          <cell r="AB517">
            <v>0</v>
          </cell>
          <cell r="AC517">
            <v>-6.1858325666973322</v>
          </cell>
          <cell r="AD517">
            <v>-0.38483467504649327</v>
          </cell>
          <cell r="AE517">
            <v>0.84</v>
          </cell>
          <cell r="AF517">
            <v>0</v>
          </cell>
          <cell r="AG517">
            <v>0</v>
          </cell>
          <cell r="AH517">
            <v>0</v>
          </cell>
          <cell r="AI517">
            <v>24</v>
          </cell>
          <cell r="AJ517">
            <v>0</v>
          </cell>
          <cell r="AK517" t="str">
            <v>solv.base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</row>
        <row r="518">
          <cell r="K518" t="str">
            <v>SO24-2265</v>
          </cell>
          <cell r="L518" t="str">
            <v>MARGO TS PLAINLAMI WITH PC 43gmROLL(4000003359) 4UPS</v>
          </cell>
          <cell r="M518" t="str">
            <v>C24-2268</v>
          </cell>
          <cell r="O518" t="str">
            <v>COMPLETED</v>
          </cell>
          <cell r="P518">
            <v>7300</v>
          </cell>
          <cell r="Q518">
            <v>1</v>
          </cell>
          <cell r="R518">
            <v>7300</v>
          </cell>
          <cell r="S518" t="str">
            <v>KG</v>
          </cell>
          <cell r="T518">
            <v>1480.8571428571429</v>
          </cell>
          <cell r="U518">
            <v>93.529788597053169</v>
          </cell>
          <cell r="V518" t="e">
            <v>#N/A</v>
          </cell>
          <cell r="W518" t="str">
            <v>KG</v>
          </cell>
          <cell r="X518">
            <v>1515</v>
          </cell>
          <cell r="Y518">
            <v>95.686224973157337</v>
          </cell>
          <cell r="Z518">
            <v>0</v>
          </cell>
          <cell r="AA518" t="str">
            <v>KG</v>
          </cell>
          <cell r="AB518">
            <v>0</v>
          </cell>
          <cell r="AC518">
            <v>-34.14285714285711</v>
          </cell>
          <cell r="AD518">
            <v>-2.1564363761041565</v>
          </cell>
          <cell r="AE518" t="e">
            <v>#N/A</v>
          </cell>
          <cell r="AF518">
            <v>0</v>
          </cell>
          <cell r="AG518" t="e">
            <v>#N/A</v>
          </cell>
          <cell r="AH518" t="e">
            <v>#N/A</v>
          </cell>
          <cell r="AI518">
            <v>1515</v>
          </cell>
          <cell r="AJ518">
            <v>0</v>
          </cell>
          <cell r="AK518" t="str">
            <v>solv.Less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</row>
        <row r="519">
          <cell r="K519" t="str">
            <v>SO24-2338</v>
          </cell>
          <cell r="L519" t="str">
            <v>Homa Cream Bread (Vanilla)Pelican R1</v>
          </cell>
          <cell r="M519" t="str">
            <v>C24-2326</v>
          </cell>
          <cell r="O519" t="str">
            <v>COMPLETED</v>
          </cell>
          <cell r="P519">
            <v>2000</v>
          </cell>
          <cell r="Q519">
            <v>1</v>
          </cell>
          <cell r="R519">
            <v>2000</v>
          </cell>
          <cell r="S519" t="str">
            <v>KG</v>
          </cell>
          <cell r="T519">
            <v>1014.9100257069406</v>
          </cell>
          <cell r="U519">
            <v>57.737514262540714</v>
          </cell>
          <cell r="V519" t="e">
            <v>#N/A</v>
          </cell>
          <cell r="W519" t="str">
            <v>KG</v>
          </cell>
          <cell r="X519">
            <v>1069</v>
          </cell>
          <cell r="Y519">
            <v>60.814654681988856</v>
          </cell>
          <cell r="Z519">
            <v>0</v>
          </cell>
          <cell r="AA519" t="str">
            <v>KG</v>
          </cell>
          <cell r="AB519">
            <v>0</v>
          </cell>
          <cell r="AC519">
            <v>-54.089974293059413</v>
          </cell>
          <cell r="AD519">
            <v>-3.0771404194481407</v>
          </cell>
          <cell r="AE519" t="e">
            <v>#N/A</v>
          </cell>
          <cell r="AF519">
            <v>0</v>
          </cell>
          <cell r="AG519" t="e">
            <v>#N/A</v>
          </cell>
          <cell r="AH519" t="e">
            <v>#N/A</v>
          </cell>
          <cell r="AI519">
            <v>1069</v>
          </cell>
          <cell r="AJ519">
            <v>0</v>
          </cell>
          <cell r="AK519" t="str">
            <v>solv.Less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</row>
        <row r="520">
          <cell r="K520" t="str">
            <v>SO24-2319</v>
          </cell>
          <cell r="L520" t="str">
            <v>PANDA NOODLES POUCH[18MATT/50PEN]</v>
          </cell>
          <cell r="M520" t="str">
            <v>C24-2329</v>
          </cell>
          <cell r="O520" t="str">
            <v>COMPLETED</v>
          </cell>
          <cell r="P520">
            <v>450</v>
          </cell>
          <cell r="Q520">
            <v>7.5</v>
          </cell>
          <cell r="R520">
            <v>60000</v>
          </cell>
          <cell r="S520" t="str">
            <v>NO</v>
          </cell>
          <cell r="T520">
            <v>138.57077205882351</v>
          </cell>
          <cell r="U520">
            <v>10.362600922722027</v>
          </cell>
          <cell r="V520" t="e">
            <v>#N/A</v>
          </cell>
          <cell r="W520" t="str">
            <v>NO</v>
          </cell>
          <cell r="X520">
            <v>156</v>
          </cell>
          <cell r="Y520">
            <v>11.665993628572709</v>
          </cell>
          <cell r="Z520">
            <v>0</v>
          </cell>
          <cell r="AA520" t="str">
            <v>NO</v>
          </cell>
          <cell r="AB520">
            <v>0</v>
          </cell>
          <cell r="AC520">
            <v>-17.429227941176492</v>
          </cell>
          <cell r="AD520">
            <v>-1.3033927058506822</v>
          </cell>
          <cell r="AE520" t="e">
            <v>#N/A</v>
          </cell>
          <cell r="AF520">
            <v>0</v>
          </cell>
          <cell r="AG520" t="e">
            <v>#N/A</v>
          </cell>
          <cell r="AH520" t="e">
            <v>#N/A</v>
          </cell>
          <cell r="AI520">
            <v>156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</row>
        <row r="521">
          <cell r="K521" t="str">
            <v>SO24-2344</v>
          </cell>
          <cell r="L521" t="str">
            <v>Yumzee Makeup Box Rs 5/-</v>
          </cell>
          <cell r="M521" t="str">
            <v>C24-2360</v>
          </cell>
          <cell r="O521" t="str">
            <v>COMPLETED</v>
          </cell>
          <cell r="P521">
            <v>1000</v>
          </cell>
          <cell r="Q521">
            <v>1</v>
          </cell>
          <cell r="R521">
            <v>1000</v>
          </cell>
          <cell r="S521" t="str">
            <v>KG</v>
          </cell>
          <cell r="T521">
            <v>261.42716211772444</v>
          </cell>
          <cell r="U521">
            <v>18.841597269745908</v>
          </cell>
          <cell r="V521" t="e">
            <v>#N/A</v>
          </cell>
          <cell r="W521" t="str">
            <v>KG</v>
          </cell>
          <cell r="X521">
            <v>268</v>
          </cell>
          <cell r="Y521">
            <v>19.315315315315317</v>
          </cell>
          <cell r="Z521">
            <v>0</v>
          </cell>
          <cell r="AA521" t="str">
            <v>KG</v>
          </cell>
          <cell r="AB521">
            <v>0</v>
          </cell>
          <cell r="AC521">
            <v>-6.5728378822755644</v>
          </cell>
          <cell r="AD521">
            <v>-0.47371804556941005</v>
          </cell>
          <cell r="AE521" t="e">
            <v>#N/A</v>
          </cell>
          <cell r="AF521">
            <v>0</v>
          </cell>
          <cell r="AG521" t="e">
            <v>#N/A</v>
          </cell>
          <cell r="AH521" t="e">
            <v>#N/A</v>
          </cell>
          <cell r="AI521">
            <v>268</v>
          </cell>
          <cell r="AJ521">
            <v>0</v>
          </cell>
          <cell r="AK521" t="str">
            <v>Extrusion</v>
          </cell>
          <cell r="AL521">
            <v>672.84380138112465</v>
          </cell>
          <cell r="AM521">
            <v>676</v>
          </cell>
          <cell r="AN521">
            <v>676</v>
          </cell>
          <cell r="AO521">
            <v>0</v>
          </cell>
        </row>
        <row r="522">
          <cell r="K522" t="str">
            <v>SO24-2346</v>
          </cell>
          <cell r="L522" t="str">
            <v>Yumzee Rings Wild Dinos Rs 5/-</v>
          </cell>
          <cell r="M522" t="str">
            <v>C24-2362</v>
          </cell>
          <cell r="O522" t="str">
            <v>COMPLETED</v>
          </cell>
          <cell r="P522">
            <v>1000</v>
          </cell>
          <cell r="Q522">
            <v>1</v>
          </cell>
          <cell r="R522">
            <v>1000</v>
          </cell>
          <cell r="S522" t="str">
            <v>KG</v>
          </cell>
          <cell r="T522">
            <v>258.96086813548175</v>
          </cell>
          <cell r="U522">
            <v>18.663846352106795</v>
          </cell>
          <cell r="V522" t="e">
            <v>#N/A</v>
          </cell>
          <cell r="W522" t="str">
            <v>KG</v>
          </cell>
          <cell r="X522">
            <v>254</v>
          </cell>
          <cell r="Y522">
            <v>18.306306306306304</v>
          </cell>
          <cell r="Z522">
            <v>4.9608681354817463</v>
          </cell>
          <cell r="AA522" t="str">
            <v>KG</v>
          </cell>
          <cell r="AB522">
            <v>0.3575400458004907</v>
          </cell>
          <cell r="AC522">
            <v>4.9608681354817463</v>
          </cell>
          <cell r="AD522">
            <v>0.35754004580048621</v>
          </cell>
          <cell r="AE522" t="e">
            <v>#N/A</v>
          </cell>
          <cell r="AF522">
            <v>0.3575400458004907</v>
          </cell>
          <cell r="AG522" t="e">
            <v>#N/A</v>
          </cell>
          <cell r="AH522" t="e">
            <v>#N/A</v>
          </cell>
          <cell r="AI522">
            <v>254</v>
          </cell>
          <cell r="AJ522">
            <v>0</v>
          </cell>
          <cell r="AK522" t="str">
            <v>Extrusion</v>
          </cell>
          <cell r="AL522">
            <v>666.49621834922732</v>
          </cell>
          <cell r="AM522">
            <v>652</v>
          </cell>
          <cell r="AN522">
            <v>652</v>
          </cell>
          <cell r="AO522">
            <v>0</v>
          </cell>
        </row>
        <row r="523">
          <cell r="K523" t="str">
            <v>SO24-2401</v>
          </cell>
          <cell r="L523" t="str">
            <v>NAUCERA CAFESTA CLASSIC PREMIX COFFEE-1KG(POUCH)</v>
          </cell>
          <cell r="M523" t="str">
            <v>C24-2380</v>
          </cell>
          <cell r="O523" t="str">
            <v>COMPLETED</v>
          </cell>
          <cell r="P523">
            <v>173.4</v>
          </cell>
          <cell r="Q523">
            <v>11.56</v>
          </cell>
          <cell r="R523">
            <v>15000</v>
          </cell>
          <cell r="S523" t="str">
            <v>NO</v>
          </cell>
          <cell r="T523">
            <v>33.690428015564194</v>
          </cell>
          <cell r="U523">
            <v>2.4910111806137021</v>
          </cell>
          <cell r="V523">
            <v>181.21577914729394</v>
          </cell>
          <cell r="W523" t="str">
            <v>NO</v>
          </cell>
          <cell r="X523">
            <v>36</v>
          </cell>
          <cell r="Y523">
            <v>2.6617768839465281</v>
          </cell>
          <cell r="Z523">
            <v>0</v>
          </cell>
          <cell r="AA523" t="str">
            <v>NO</v>
          </cell>
          <cell r="AB523">
            <v>0</v>
          </cell>
          <cell r="AC523">
            <v>-2.3095719844358058</v>
          </cell>
          <cell r="AD523">
            <v>-0.17076570333282606</v>
          </cell>
          <cell r="AE523">
            <v>0.78</v>
          </cell>
          <cell r="AF523">
            <v>0</v>
          </cell>
          <cell r="AG523">
            <v>0</v>
          </cell>
          <cell r="AH523">
            <v>0</v>
          </cell>
          <cell r="AI523">
            <v>36</v>
          </cell>
          <cell r="AJ523">
            <v>0</v>
          </cell>
          <cell r="AK523" t="str">
            <v>solv.Less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</row>
        <row r="524">
          <cell r="K524" t="str">
            <v>SO24-2189</v>
          </cell>
          <cell r="L524" t="str">
            <v>Suola Tea Estate Sample Pouch(100X125) R1</v>
          </cell>
          <cell r="M524" t="str">
            <v>C24-2381</v>
          </cell>
          <cell r="O524" t="str">
            <v>COMPLETED</v>
          </cell>
          <cell r="P524">
            <v>122.50000000000001</v>
          </cell>
          <cell r="Q524">
            <v>2.4500000000000002</v>
          </cell>
          <cell r="R524">
            <v>50000</v>
          </cell>
          <cell r="S524" t="str">
            <v>NO</v>
          </cell>
          <cell r="T524">
            <v>22.869604316546759</v>
          </cell>
          <cell r="U524">
            <v>2.1494999122653096</v>
          </cell>
          <cell r="V524" t="e">
            <v>#N/A</v>
          </cell>
          <cell r="W524" t="str">
            <v>NO</v>
          </cell>
          <cell r="X524">
            <v>25</v>
          </cell>
          <cell r="Y524">
            <v>2.3497344800037601</v>
          </cell>
          <cell r="Z524">
            <v>0</v>
          </cell>
          <cell r="AA524" t="str">
            <v>NO</v>
          </cell>
          <cell r="AB524">
            <v>0</v>
          </cell>
          <cell r="AC524">
            <v>-2.1303956834532407</v>
          </cell>
          <cell r="AD524">
            <v>-0.20023456773845022</v>
          </cell>
          <cell r="AE524" t="e">
            <v>#N/A</v>
          </cell>
          <cell r="AF524">
            <v>0</v>
          </cell>
          <cell r="AG524" t="e">
            <v>#N/A</v>
          </cell>
          <cell r="AH524" t="e">
            <v>#N/A</v>
          </cell>
          <cell r="AI524">
            <v>25</v>
          </cell>
          <cell r="AJ524">
            <v>0</v>
          </cell>
          <cell r="AK524" t="str">
            <v>solv.Less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</row>
        <row r="525">
          <cell r="K525" t="str">
            <v>SO24-2364</v>
          </cell>
          <cell r="L525" t="str">
            <v>KHEMS BANANA CHIPS RS 5/-</v>
          </cell>
          <cell r="M525" t="str">
            <v>C24-2411</v>
          </cell>
          <cell r="O525" t="str">
            <v>COMPLETED</v>
          </cell>
          <cell r="P525">
            <v>500</v>
          </cell>
          <cell r="Q525">
            <v>1</v>
          </cell>
          <cell r="R525">
            <v>500</v>
          </cell>
          <cell r="S525" t="str">
            <v>KG</v>
          </cell>
          <cell r="T525">
            <v>144.18181818181819</v>
          </cell>
          <cell r="U525">
            <v>9.2149565833776386</v>
          </cell>
          <cell r="V525">
            <v>518.12178140991193</v>
          </cell>
          <cell r="W525" t="str">
            <v>KG</v>
          </cell>
          <cell r="X525">
            <v>155</v>
          </cell>
          <cell r="Y525">
            <v>9.9063688364810041</v>
          </cell>
          <cell r="Z525">
            <v>0</v>
          </cell>
          <cell r="AA525" t="str">
            <v>KG</v>
          </cell>
          <cell r="AB525">
            <v>0</v>
          </cell>
          <cell r="AC525">
            <v>-10.818181818181813</v>
          </cell>
          <cell r="AD525">
            <v>-0.69141225310336585</v>
          </cell>
          <cell r="AE525">
            <v>0.84</v>
          </cell>
          <cell r="AF525">
            <v>0</v>
          </cell>
          <cell r="AG525">
            <v>0</v>
          </cell>
          <cell r="AH525">
            <v>0</v>
          </cell>
          <cell r="AI525">
            <v>155</v>
          </cell>
          <cell r="AJ525">
            <v>0</v>
          </cell>
          <cell r="AK525" t="str">
            <v>solv.Less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</row>
        <row r="526">
          <cell r="K526" t="str">
            <v>SO24-2290</v>
          </cell>
          <cell r="L526" t="str">
            <v>BIKAJI SOYA STICKS MASALA MUNCH RS 5/-(220MM) R1</v>
          </cell>
          <cell r="M526" t="str">
            <v>C24-2419</v>
          </cell>
          <cell r="O526" t="str">
            <v>COMPLETED</v>
          </cell>
          <cell r="P526">
            <v>2000</v>
          </cell>
          <cell r="Q526">
            <v>1</v>
          </cell>
          <cell r="R526">
            <v>2000</v>
          </cell>
          <cell r="S526" t="str">
            <v>KG</v>
          </cell>
          <cell r="T526">
            <v>604.65868650922016</v>
          </cell>
          <cell r="U526">
            <v>30.195190337539088</v>
          </cell>
          <cell r="V526" t="e">
            <v>#N/A</v>
          </cell>
          <cell r="W526" t="str">
            <v>KG</v>
          </cell>
          <cell r="X526">
            <v>520</v>
          </cell>
          <cell r="Y526">
            <v>25.96754057428215</v>
          </cell>
          <cell r="Z526">
            <v>84.658686509220161</v>
          </cell>
          <cell r="AA526" t="str">
            <v>KG</v>
          </cell>
          <cell r="AB526">
            <v>4.2276497632569381</v>
          </cell>
          <cell r="AC526">
            <v>84.658686509220161</v>
          </cell>
          <cell r="AD526">
            <v>4.2276497632569372</v>
          </cell>
          <cell r="AE526" t="e">
            <v>#N/A</v>
          </cell>
          <cell r="AF526">
            <v>4.2276497632569381</v>
          </cell>
          <cell r="AG526" t="e">
            <v>#N/A</v>
          </cell>
          <cell r="AH526" t="e">
            <v>#N/A</v>
          </cell>
          <cell r="AI526">
            <v>520</v>
          </cell>
          <cell r="AJ526">
            <v>0</v>
          </cell>
          <cell r="AK526" t="str">
            <v>Extrusion</v>
          </cell>
          <cell r="AL526">
            <v>1344.3804593982527</v>
          </cell>
          <cell r="AM526">
            <v>1365</v>
          </cell>
          <cell r="AN526">
            <v>1365</v>
          </cell>
          <cell r="AO526">
            <v>0</v>
          </cell>
        </row>
        <row r="527">
          <cell r="K527" t="str">
            <v>SO24-2291</v>
          </cell>
          <cell r="L527" t="str">
            <v>BIKAJI SOYA STICKS MASALA MUNCH RS 10/-(290MM) R1</v>
          </cell>
          <cell r="M527" t="str">
            <v>C24-2420</v>
          </cell>
          <cell r="O527" t="str">
            <v>COMPLETED</v>
          </cell>
          <cell r="P527">
            <v>1000</v>
          </cell>
          <cell r="Q527">
            <v>1</v>
          </cell>
          <cell r="R527">
            <v>1000</v>
          </cell>
          <cell r="S527" t="str">
            <v>KG</v>
          </cell>
          <cell r="T527">
            <v>254.7719184729861</v>
          </cell>
          <cell r="U527">
            <v>18.977424094822059</v>
          </cell>
          <cell r="V527" t="e">
            <v>#N/A</v>
          </cell>
          <cell r="W527" t="str">
            <v>KG</v>
          </cell>
          <cell r="X527">
            <v>218</v>
          </cell>
          <cell r="Y527">
            <v>16.238361266294227</v>
          </cell>
          <cell r="Z527">
            <v>36.771918472986101</v>
          </cell>
          <cell r="AA527" t="str">
            <v>KG</v>
          </cell>
          <cell r="AB527">
            <v>2.7390628285278318</v>
          </cell>
          <cell r="AC527">
            <v>36.771918472986101</v>
          </cell>
          <cell r="AD527">
            <v>2.7390628285278287</v>
          </cell>
          <cell r="AE527" t="e">
            <v>#N/A</v>
          </cell>
          <cell r="AF527">
            <v>2.7390628285278318</v>
          </cell>
          <cell r="AG527" t="e">
            <v>#N/A</v>
          </cell>
          <cell r="AH527" t="e">
            <v>#N/A</v>
          </cell>
          <cell r="AI527">
            <v>218</v>
          </cell>
          <cell r="AJ527">
            <v>0</v>
          </cell>
          <cell r="AK527" t="str">
            <v>Extrusion</v>
          </cell>
          <cell r="AL527">
            <v>672.19022969912658</v>
          </cell>
          <cell r="AM527">
            <v>553</v>
          </cell>
          <cell r="AN527">
            <v>553</v>
          </cell>
          <cell r="AO527">
            <v>0</v>
          </cell>
        </row>
        <row r="528">
          <cell r="K528" t="str">
            <v>SO24-2293</v>
          </cell>
          <cell r="L528" t="str">
            <v>Bikaji Soya Sticks Tomato Bite Rs.10(290mm)R1</v>
          </cell>
          <cell r="M528" t="str">
            <v>C24-2422</v>
          </cell>
          <cell r="O528" t="str">
            <v>COMPLETED</v>
          </cell>
          <cell r="P528">
            <v>5000</v>
          </cell>
          <cell r="Q528">
            <v>1</v>
          </cell>
          <cell r="R528">
            <v>5000</v>
          </cell>
          <cell r="S528" t="str">
            <v>KG</v>
          </cell>
          <cell r="T528">
            <v>1273.8595923649304</v>
          </cell>
          <cell r="U528">
            <v>94.887120474110276</v>
          </cell>
          <cell r="V528" t="e">
            <v>#N/A</v>
          </cell>
          <cell r="W528" t="str">
            <v>KG</v>
          </cell>
          <cell r="X528">
            <v>1289</v>
          </cell>
          <cell r="Y528">
            <v>96.01489757914338</v>
          </cell>
          <cell r="Z528">
            <v>0</v>
          </cell>
          <cell r="AA528" t="str">
            <v>KG</v>
          </cell>
          <cell r="AB528">
            <v>0</v>
          </cell>
          <cell r="AC528">
            <v>-15.14040763506955</v>
          </cell>
          <cell r="AD528">
            <v>-1.1277771050331136</v>
          </cell>
          <cell r="AE528" t="e">
            <v>#N/A</v>
          </cell>
          <cell r="AF528">
            <v>0</v>
          </cell>
          <cell r="AG528" t="e">
            <v>#N/A</v>
          </cell>
          <cell r="AH528" t="e">
            <v>#N/A</v>
          </cell>
          <cell r="AI528">
            <v>1289</v>
          </cell>
          <cell r="AJ528">
            <v>0</v>
          </cell>
          <cell r="AK528" t="str">
            <v>Extrusion</v>
          </cell>
          <cell r="AL528">
            <v>3360.9511484956324</v>
          </cell>
          <cell r="AM528">
            <v>3452</v>
          </cell>
          <cell r="AN528">
            <v>3452</v>
          </cell>
          <cell r="AO528">
            <v>0</v>
          </cell>
        </row>
        <row r="529">
          <cell r="K529" t="str">
            <v>SO24-2295</v>
          </cell>
          <cell r="L529" t="str">
            <v>BIKAJI TANA TAN ALOO BHUJIA 200Gm (320mm) R1</v>
          </cell>
          <cell r="M529" t="str">
            <v>C24-2423</v>
          </cell>
          <cell r="O529" t="str">
            <v>COMPLETED</v>
          </cell>
          <cell r="P529">
            <v>1000</v>
          </cell>
          <cell r="Q529">
            <v>1</v>
          </cell>
          <cell r="R529">
            <v>1000</v>
          </cell>
          <cell r="S529" t="str">
            <v>KG</v>
          </cell>
          <cell r="T529">
            <v>221.51898734177217</v>
          </cell>
          <cell r="U529">
            <v>14.992824862387288</v>
          </cell>
          <cell r="V529" t="e">
            <v>#N/A</v>
          </cell>
          <cell r="W529" t="str">
            <v>KG</v>
          </cell>
          <cell r="X529">
            <v>249</v>
          </cell>
          <cell r="Y529">
            <v>16.852791878172589</v>
          </cell>
          <cell r="Z529">
            <v>0</v>
          </cell>
          <cell r="AA529" t="str">
            <v>KG</v>
          </cell>
          <cell r="AB529">
            <v>0</v>
          </cell>
          <cell r="AC529">
            <v>-27.481012658227826</v>
          </cell>
          <cell r="AD529">
            <v>-1.8599670157853012</v>
          </cell>
          <cell r="AE529" t="e">
            <v>#N/A</v>
          </cell>
          <cell r="AF529">
            <v>0</v>
          </cell>
          <cell r="AG529" t="e">
            <v>#N/A</v>
          </cell>
          <cell r="AH529" t="e">
            <v>#N/A</v>
          </cell>
          <cell r="AI529">
            <v>249</v>
          </cell>
          <cell r="AJ529">
            <v>0</v>
          </cell>
          <cell r="AK529" t="str">
            <v>Extrusion</v>
          </cell>
          <cell r="AL529">
            <v>598.78059071729956</v>
          </cell>
          <cell r="AM529">
            <v>638</v>
          </cell>
          <cell r="AN529">
            <v>638</v>
          </cell>
          <cell r="AO529">
            <v>0</v>
          </cell>
        </row>
        <row r="530">
          <cell r="K530" t="str">
            <v>SO24-2297</v>
          </cell>
          <cell r="L530" t="str">
            <v>Bikaji Lite Jhalmuri Rs.10/-(265mm) R1</v>
          </cell>
          <cell r="M530" t="str">
            <v>C24-2425</v>
          </cell>
          <cell r="O530" t="str">
            <v>COMPLETED</v>
          </cell>
          <cell r="P530">
            <v>2000</v>
          </cell>
          <cell r="Q530">
            <v>1</v>
          </cell>
          <cell r="R530">
            <v>2000</v>
          </cell>
          <cell r="S530" t="str">
            <v>KG</v>
          </cell>
          <cell r="T530">
            <v>493.57568160451268</v>
          </cell>
          <cell r="U530">
            <v>30.327230820553776</v>
          </cell>
          <cell r="V530" t="e">
            <v>#N/A</v>
          </cell>
          <cell r="W530" t="str">
            <v>KG</v>
          </cell>
          <cell r="X530">
            <v>528</v>
          </cell>
          <cell r="Y530">
            <v>32.442396313364057</v>
          </cell>
          <cell r="Z530">
            <v>0</v>
          </cell>
          <cell r="AA530" t="str">
            <v>KG</v>
          </cell>
          <cell r="AB530">
            <v>0</v>
          </cell>
          <cell r="AC530">
            <v>-34.424318395487319</v>
          </cell>
          <cell r="AD530">
            <v>-2.1151654928102808</v>
          </cell>
          <cell r="AE530" t="e">
            <v>#N/A</v>
          </cell>
          <cell r="AF530">
            <v>0</v>
          </cell>
          <cell r="AG530" t="e">
            <v>#N/A</v>
          </cell>
          <cell r="AH530" t="e">
            <v>#N/A</v>
          </cell>
          <cell r="AI530">
            <v>528</v>
          </cell>
          <cell r="AJ530">
            <v>0</v>
          </cell>
          <cell r="AK530" t="str">
            <v>Extrusion</v>
          </cell>
          <cell r="AL530">
            <v>1372.4694453149484</v>
          </cell>
          <cell r="AM530">
            <v>1458</v>
          </cell>
          <cell r="AN530">
            <v>1458</v>
          </cell>
          <cell r="AO530">
            <v>0</v>
          </cell>
        </row>
        <row r="531">
          <cell r="K531" t="str">
            <v>SO24-2299</v>
          </cell>
          <cell r="L531" t="str">
            <v>Bikaji Navrattan Mix Sub Kuch Rs 10/-(240MM)54Gsm R1</v>
          </cell>
          <cell r="M531" t="str">
            <v>C24-2426</v>
          </cell>
          <cell r="O531" t="str">
            <v>COMPLETED</v>
          </cell>
          <cell r="P531">
            <v>1000</v>
          </cell>
          <cell r="Q531">
            <v>1</v>
          </cell>
          <cell r="R531">
            <v>1000</v>
          </cell>
          <cell r="S531" t="str">
            <v>KG</v>
          </cell>
          <cell r="T531">
            <v>254.7719184729861</v>
          </cell>
          <cell r="U531">
            <v>17.243446258746943</v>
          </cell>
          <cell r="V531" t="e">
            <v>#N/A</v>
          </cell>
          <cell r="W531" t="str">
            <v>KG</v>
          </cell>
          <cell r="X531">
            <v>289</v>
          </cell>
          <cell r="Y531">
            <v>19.560067681895092</v>
          </cell>
          <cell r="Z531">
            <v>0</v>
          </cell>
          <cell r="AA531" t="str">
            <v>KG</v>
          </cell>
          <cell r="AB531">
            <v>0</v>
          </cell>
          <cell r="AC531">
            <v>-34.228081527013899</v>
          </cell>
          <cell r="AD531">
            <v>-2.316621423148149</v>
          </cell>
          <cell r="AE531" t="e">
            <v>#N/A</v>
          </cell>
          <cell r="AF531">
            <v>0</v>
          </cell>
          <cell r="AG531" t="e">
            <v>#N/A</v>
          </cell>
          <cell r="AH531" t="e">
            <v>#N/A</v>
          </cell>
          <cell r="AI531">
            <v>289</v>
          </cell>
          <cell r="AJ531">
            <v>0</v>
          </cell>
          <cell r="AK531" t="str">
            <v>Extrusion</v>
          </cell>
          <cell r="AL531">
            <v>672.19022969912635</v>
          </cell>
          <cell r="AM531">
            <v>778</v>
          </cell>
          <cell r="AN531">
            <v>778</v>
          </cell>
          <cell r="AO531">
            <v>0</v>
          </cell>
        </row>
        <row r="532">
          <cell r="K532" t="str">
            <v>SO24-2425</v>
          </cell>
          <cell r="L532" t="str">
            <v>Non Stop Noodles 25% Extra Rs 5/- Flavoured (275x175) R1</v>
          </cell>
          <cell r="M532" t="str">
            <v>C24-2466</v>
          </cell>
          <cell r="O532" t="str">
            <v>COMPLETED</v>
          </cell>
          <cell r="P532">
            <v>15000</v>
          </cell>
          <cell r="Q532">
            <v>1</v>
          </cell>
          <cell r="R532">
            <v>15000</v>
          </cell>
          <cell r="S532" t="str">
            <v>KG</v>
          </cell>
          <cell r="T532">
            <v>4413.5705289672542</v>
          </cell>
          <cell r="U532">
            <v>220.40302267002519</v>
          </cell>
          <cell r="V532" t="e">
            <v>#N/A</v>
          </cell>
          <cell r="W532" t="str">
            <v>KG</v>
          </cell>
          <cell r="X532">
            <v>3898</v>
          </cell>
          <cell r="Y532">
            <v>194.65667915106118</v>
          </cell>
          <cell r="Z532">
            <v>515.57052896725418</v>
          </cell>
          <cell r="AA532" t="str">
            <v>KG</v>
          </cell>
          <cell r="AB532">
            <v>25.746343518964011</v>
          </cell>
          <cell r="AC532">
            <v>515.57052896725418</v>
          </cell>
          <cell r="AD532">
            <v>25.746343518964007</v>
          </cell>
          <cell r="AE532" t="e">
            <v>#N/A</v>
          </cell>
          <cell r="AF532">
            <v>25.746343518964011</v>
          </cell>
          <cell r="AG532" t="e">
            <v>#N/A</v>
          </cell>
          <cell r="AH532" t="e">
            <v>#N/A</v>
          </cell>
          <cell r="AI532">
            <v>3898</v>
          </cell>
          <cell r="AJ532">
            <v>0</v>
          </cell>
          <cell r="AK532" t="str">
            <v>Extrusion</v>
          </cell>
          <cell r="AL532">
            <v>10245.930415617127</v>
          </cell>
          <cell r="AM532">
            <v>10104</v>
          </cell>
          <cell r="AN532">
            <v>10104</v>
          </cell>
          <cell r="AO532">
            <v>0</v>
          </cell>
        </row>
        <row r="533">
          <cell r="K533" t="str">
            <v>SO24-2339</v>
          </cell>
          <cell r="L533" t="str">
            <v>Bikaji Potato Chips Classic Salted Rs.5/(290mm) R2</v>
          </cell>
          <cell r="M533" t="str">
            <v>C24-2471</v>
          </cell>
          <cell r="O533" t="str">
            <v>COMPLETED</v>
          </cell>
          <cell r="P533">
            <v>1000</v>
          </cell>
          <cell r="Q533">
            <v>1</v>
          </cell>
          <cell r="R533">
            <v>1000</v>
          </cell>
          <cell r="S533" t="str">
            <v>KG</v>
          </cell>
          <cell r="T533">
            <v>254.7719184729861</v>
          </cell>
          <cell r="U533">
            <v>18.977424094822059</v>
          </cell>
          <cell r="V533" t="e">
            <v>#N/A</v>
          </cell>
          <cell r="W533" t="str">
            <v>KG</v>
          </cell>
          <cell r="X533">
            <v>261</v>
          </cell>
          <cell r="Y533">
            <v>19.441340782122904</v>
          </cell>
          <cell r="Z533">
            <v>0</v>
          </cell>
          <cell r="AA533" t="str">
            <v>KG</v>
          </cell>
          <cell r="AB533">
            <v>0</v>
          </cell>
          <cell r="AC533">
            <v>-6.2280815270138987</v>
          </cell>
          <cell r="AD533">
            <v>-0.46391668730084906</v>
          </cell>
          <cell r="AE533" t="e">
            <v>#N/A</v>
          </cell>
          <cell r="AF533">
            <v>0</v>
          </cell>
          <cell r="AG533" t="e">
            <v>#N/A</v>
          </cell>
          <cell r="AH533" t="e">
            <v>#N/A</v>
          </cell>
          <cell r="AI533">
            <v>261</v>
          </cell>
          <cell r="AJ533">
            <v>0</v>
          </cell>
          <cell r="AK533" t="str">
            <v>Extrusion</v>
          </cell>
          <cell r="AL533">
            <v>672.19022969912658</v>
          </cell>
          <cell r="AM533">
            <v>687</v>
          </cell>
          <cell r="AN533">
            <v>687</v>
          </cell>
          <cell r="AO533">
            <v>0</v>
          </cell>
        </row>
        <row r="534">
          <cell r="K534" t="str">
            <v>SO24-1978</v>
          </cell>
          <cell r="L534" t="str">
            <v>KEEKO BHUJIA CHICKEN RS 1/- [140MM]-[12/30W][PMO35]</v>
          </cell>
          <cell r="M534" t="str">
            <v>C24-1975</v>
          </cell>
          <cell r="O534" t="str">
            <v>COMPLETED</v>
          </cell>
          <cell r="P534">
            <v>1000</v>
          </cell>
          <cell r="Q534">
            <v>1</v>
          </cell>
          <cell r="R534">
            <v>1000</v>
          </cell>
          <cell r="S534" t="str">
            <v>KG</v>
          </cell>
          <cell r="T534">
            <v>382.75574112734859</v>
          </cell>
          <cell r="U534">
            <v>25.149861431588715</v>
          </cell>
          <cell r="V534">
            <v>972.71905649219536</v>
          </cell>
          <cell r="W534" t="str">
            <v>KG</v>
          </cell>
          <cell r="X534">
            <v>390</v>
          </cell>
          <cell r="Y534">
            <v>25.625862408831072</v>
          </cell>
          <cell r="Z534">
            <v>0</v>
          </cell>
          <cell r="AA534" t="str">
            <v>KG</v>
          </cell>
          <cell r="AB534">
            <v>0</v>
          </cell>
          <cell r="AC534">
            <v>-7.2442588726514145</v>
          </cell>
          <cell r="AD534">
            <v>-0.47600097724235602</v>
          </cell>
          <cell r="AE534">
            <v>0.84</v>
          </cell>
          <cell r="AF534">
            <v>0</v>
          </cell>
          <cell r="AG534">
            <v>0</v>
          </cell>
          <cell r="AH534">
            <v>0</v>
          </cell>
          <cell r="AI534">
            <v>390</v>
          </cell>
          <cell r="AJ534">
            <v>0</v>
          </cell>
          <cell r="AK534" t="str">
            <v>solv.Less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</row>
        <row r="535">
          <cell r="K535" t="str">
            <v>SO24-2098</v>
          </cell>
          <cell r="L535" t="str">
            <v>PTD-OVAL-WINDOW  POUCH-GREEN-1KG(190X265+55)</v>
          </cell>
          <cell r="M535" t="str">
            <v>C24-2086</v>
          </cell>
          <cell r="O535" t="str">
            <v>COMPLETED</v>
          </cell>
          <cell r="P535">
            <v>100</v>
          </cell>
          <cell r="Q535">
            <v>1</v>
          </cell>
          <cell r="R535">
            <v>100</v>
          </cell>
          <cell r="S535" t="str">
            <v>KG</v>
          </cell>
          <cell r="T535">
            <v>17.814167433302668</v>
          </cell>
          <cell r="U535">
            <v>1.4466596908642739</v>
          </cell>
          <cell r="V535">
            <v>106.59442695995662</v>
          </cell>
          <cell r="W535" t="str">
            <v>KG</v>
          </cell>
          <cell r="X535">
            <v>20</v>
          </cell>
          <cell r="Y535">
            <v>1.624167614097775</v>
          </cell>
          <cell r="Z535">
            <v>0</v>
          </cell>
          <cell r="AA535" t="str">
            <v>KG</v>
          </cell>
          <cell r="AB535">
            <v>0</v>
          </cell>
          <cell r="AC535">
            <v>-2.1858325666973322</v>
          </cell>
          <cell r="AD535">
            <v>-0.17750792323350109</v>
          </cell>
          <cell r="AE535">
            <v>0.64</v>
          </cell>
          <cell r="AF535">
            <v>0</v>
          </cell>
          <cell r="AG535">
            <v>0</v>
          </cell>
          <cell r="AH535">
            <v>0</v>
          </cell>
          <cell r="AI535">
            <v>20</v>
          </cell>
          <cell r="AJ535">
            <v>0</v>
          </cell>
          <cell r="AK535" t="str">
            <v>solv.base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</row>
        <row r="536">
          <cell r="K536" t="str">
            <v>SO24-2099</v>
          </cell>
          <cell r="L536" t="str">
            <v>PTD-OVAL-WINDOW  POUCH-RED-1KG(190X265+55)</v>
          </cell>
          <cell r="M536" t="str">
            <v>C24-2087</v>
          </cell>
          <cell r="O536" t="str">
            <v>COMPLETED</v>
          </cell>
          <cell r="P536">
            <v>100</v>
          </cell>
          <cell r="Q536">
            <v>1</v>
          </cell>
          <cell r="R536">
            <v>100</v>
          </cell>
          <cell r="S536" t="str">
            <v>KG</v>
          </cell>
          <cell r="T536">
            <v>17.814167433302668</v>
          </cell>
          <cell r="U536">
            <v>1.4466596908642739</v>
          </cell>
          <cell r="V536">
            <v>101.2647056119588</v>
          </cell>
          <cell r="W536" t="str">
            <v>KG</v>
          </cell>
          <cell r="X536">
            <v>19</v>
          </cell>
          <cell r="Y536">
            <v>1.5429592333928863</v>
          </cell>
          <cell r="Z536">
            <v>0</v>
          </cell>
          <cell r="AA536" t="str">
            <v>KG</v>
          </cell>
          <cell r="AB536">
            <v>0</v>
          </cell>
          <cell r="AC536">
            <v>-1.1858325666973322</v>
          </cell>
          <cell r="AD536">
            <v>-9.6299542528612336E-2</v>
          </cell>
          <cell r="AE536">
            <v>0.64</v>
          </cell>
          <cell r="AF536">
            <v>0</v>
          </cell>
          <cell r="AG536">
            <v>0</v>
          </cell>
          <cell r="AH536">
            <v>0</v>
          </cell>
          <cell r="AI536">
            <v>19</v>
          </cell>
          <cell r="AJ536">
            <v>0</v>
          </cell>
          <cell r="AK536" t="str">
            <v>solv.base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</row>
        <row r="537">
          <cell r="K537" t="str">
            <v>SO24-2130</v>
          </cell>
          <cell r="L537" t="str">
            <v>Protech Disposable Syringe 3ml (8/18)</v>
          </cell>
          <cell r="M537" t="str">
            <v>C24-2110</v>
          </cell>
          <cell r="O537" t="str">
            <v>COMPLETED</v>
          </cell>
          <cell r="P537">
            <v>1000</v>
          </cell>
          <cell r="Q537">
            <v>1</v>
          </cell>
          <cell r="R537">
            <v>1000</v>
          </cell>
          <cell r="S537" t="str">
            <v>KG</v>
          </cell>
          <cell r="T537">
            <v>403.58338914936365</v>
          </cell>
          <cell r="U537">
            <v>41.811280927155011</v>
          </cell>
          <cell r="V537" t="e">
            <v>#N/A</v>
          </cell>
          <cell r="W537" t="str">
            <v>KG</v>
          </cell>
          <cell r="X537">
            <v>410</v>
          </cell>
          <cell r="Y537">
            <v>42.47604247604248</v>
          </cell>
          <cell r="Z537">
            <v>0</v>
          </cell>
          <cell r="AA537" t="str">
            <v>KG</v>
          </cell>
          <cell r="AB537">
            <v>0</v>
          </cell>
          <cell r="AC537">
            <v>-6.4166108506363457</v>
          </cell>
          <cell r="AD537">
            <v>-0.66476154888747441</v>
          </cell>
          <cell r="AE537" t="e">
            <v>#N/A</v>
          </cell>
          <cell r="AF537">
            <v>0</v>
          </cell>
          <cell r="AG537" t="e">
            <v>#N/A</v>
          </cell>
          <cell r="AH537" t="e">
            <v>#N/A</v>
          </cell>
          <cell r="AI537">
            <v>410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</row>
        <row r="538">
          <cell r="K538" t="str">
            <v>SO24-2131</v>
          </cell>
          <cell r="L538" t="str">
            <v>Protech Disposable Syringe 10ml (8/18)</v>
          </cell>
          <cell r="M538" t="str">
            <v>C24-2111</v>
          </cell>
          <cell r="O538" t="str">
            <v>COMPLETED</v>
          </cell>
          <cell r="P538">
            <v>500</v>
          </cell>
          <cell r="Q538">
            <v>1</v>
          </cell>
          <cell r="R538">
            <v>500</v>
          </cell>
          <cell r="S538" t="str">
            <v>KG</v>
          </cell>
          <cell r="T538">
            <v>201.79169457468183</v>
          </cell>
          <cell r="U538">
            <v>21.69453255654269</v>
          </cell>
          <cell r="V538" t="e">
            <v>#N/A</v>
          </cell>
          <cell r="W538" t="str">
            <v>KG</v>
          </cell>
          <cell r="X538">
            <v>207</v>
          </cell>
          <cell r="Y538">
            <v>22.254475084663767</v>
          </cell>
          <cell r="Z538">
            <v>0</v>
          </cell>
          <cell r="AA538" t="str">
            <v>KG</v>
          </cell>
          <cell r="AB538">
            <v>0</v>
          </cell>
          <cell r="AC538">
            <v>-5.2083054253181729</v>
          </cell>
          <cell r="AD538">
            <v>-0.55994252812107437</v>
          </cell>
          <cell r="AE538" t="e">
            <v>#N/A</v>
          </cell>
          <cell r="AF538">
            <v>0</v>
          </cell>
          <cell r="AG538" t="e">
            <v>#N/A</v>
          </cell>
          <cell r="AH538" t="e">
            <v>#N/A</v>
          </cell>
          <cell r="AI538">
            <v>207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</row>
        <row r="539">
          <cell r="K539" t="str">
            <v>SO24-2209</v>
          </cell>
          <cell r="L539" t="str">
            <v>YUMMY BHUJIA (CHICKEN) RS 1/- 140MM, [12/30W][PMO74]</v>
          </cell>
          <cell r="M539" t="str">
            <v>C24-2200</v>
          </cell>
          <cell r="O539" t="str">
            <v>COMPLETED</v>
          </cell>
          <cell r="P539">
            <v>500</v>
          </cell>
          <cell r="Q539">
            <v>1</v>
          </cell>
          <cell r="R539">
            <v>500</v>
          </cell>
          <cell r="S539" t="str">
            <v>KG</v>
          </cell>
          <cell r="T539">
            <v>191.90624999999997</v>
          </cell>
          <cell r="U539">
            <v>12.609649122807017</v>
          </cell>
          <cell r="V539">
            <v>457.38259152226556</v>
          </cell>
          <cell r="W539" t="str">
            <v>KG</v>
          </cell>
          <cell r="X539">
            <v>183</v>
          </cell>
          <cell r="Y539">
            <v>12.024443130297657</v>
          </cell>
          <cell r="Z539">
            <v>8.9062499999999716</v>
          </cell>
          <cell r="AA539" t="str">
            <v>KG</v>
          </cell>
          <cell r="AB539">
            <v>0.58520599250936023</v>
          </cell>
          <cell r="AC539">
            <v>8.9062499999999716</v>
          </cell>
          <cell r="AD539">
            <v>0.58520599250936156</v>
          </cell>
          <cell r="AE539">
            <v>0.84</v>
          </cell>
          <cell r="AF539">
            <v>0</v>
          </cell>
          <cell r="AG539">
            <v>0</v>
          </cell>
          <cell r="AH539">
            <v>0.58520599250936023</v>
          </cell>
          <cell r="AI539">
            <v>183</v>
          </cell>
          <cell r="AJ539">
            <v>0</v>
          </cell>
          <cell r="AK539" t="str">
            <v>solv.Less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</row>
        <row r="540">
          <cell r="K540" t="str">
            <v>SO24-2214</v>
          </cell>
          <cell r="L540" t="str">
            <v>EVERYDAY SPICE MIRCHI 50GM</v>
          </cell>
          <cell r="M540" t="str">
            <v>C24-2217</v>
          </cell>
          <cell r="O540" t="str">
            <v>COMPLETED</v>
          </cell>
          <cell r="P540">
            <v>2000</v>
          </cell>
          <cell r="Q540">
            <v>1</v>
          </cell>
          <cell r="R540">
            <v>2000</v>
          </cell>
          <cell r="S540" t="str">
            <v>KG</v>
          </cell>
          <cell r="T540">
            <v>515.17880794701978</v>
          </cell>
          <cell r="U540">
            <v>33.803274692235817</v>
          </cell>
          <cell r="V540">
            <v>1944.1743170660602</v>
          </cell>
          <cell r="W540" t="str">
            <v>KG</v>
          </cell>
          <cell r="X540">
            <v>520</v>
          </cell>
          <cell r="Y540">
            <v>34.119615498179201</v>
          </cell>
          <cell r="Z540">
            <v>0</v>
          </cell>
          <cell r="AA540" t="str">
            <v>KG</v>
          </cell>
          <cell r="AB540">
            <v>0</v>
          </cell>
          <cell r="AC540">
            <v>-4.8211920529802228</v>
          </cell>
          <cell r="AD540">
            <v>-0.31634080594338931</v>
          </cell>
          <cell r="AE540">
            <v>0.8</v>
          </cell>
          <cell r="AF540">
            <v>0</v>
          </cell>
          <cell r="AG540">
            <v>0</v>
          </cell>
          <cell r="AH540">
            <v>0</v>
          </cell>
          <cell r="AI540">
            <v>520</v>
          </cell>
          <cell r="AJ540">
            <v>0</v>
          </cell>
          <cell r="AK540" t="str">
            <v>solv.Less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</row>
        <row r="541">
          <cell r="K541" t="str">
            <v>SO24-2278</v>
          </cell>
          <cell r="L541" t="str">
            <v>YUMMY- NON VEG SEASONING TWIN PACK RED RS 5/-140MM[12/30N][PMO88]</v>
          </cell>
          <cell r="M541" t="str">
            <v>C24-2255</v>
          </cell>
          <cell r="O541" t="str">
            <v>COMPLETED</v>
          </cell>
          <cell r="P541">
            <v>1500</v>
          </cell>
          <cell r="Q541">
            <v>1</v>
          </cell>
          <cell r="R541">
            <v>1500</v>
          </cell>
          <cell r="S541" t="str">
            <v>KG</v>
          </cell>
          <cell r="T541">
            <v>577.59677419354819</v>
          </cell>
          <cell r="U541">
            <v>39.049235993208825</v>
          </cell>
          <cell r="V541">
            <v>1422.4934131599039</v>
          </cell>
          <cell r="W541" t="str">
            <v>KG</v>
          </cell>
          <cell r="X541">
            <v>571</v>
          </cell>
          <cell r="Y541">
            <v>38.603251867626682</v>
          </cell>
          <cell r="Z541">
            <v>6.5967741935481854</v>
          </cell>
          <cell r="AA541" t="str">
            <v>KG</v>
          </cell>
          <cell r="AB541">
            <v>0.44598412558214307</v>
          </cell>
          <cell r="AC541">
            <v>6.5967741935481854</v>
          </cell>
          <cell r="AD541">
            <v>0.44598412558213746</v>
          </cell>
          <cell r="AE541">
            <v>0.84</v>
          </cell>
          <cell r="AF541">
            <v>0</v>
          </cell>
          <cell r="AG541">
            <v>0</v>
          </cell>
          <cell r="AH541">
            <v>0.44598412558214307</v>
          </cell>
          <cell r="AI541">
            <v>571</v>
          </cell>
          <cell r="AJ541">
            <v>0</v>
          </cell>
          <cell r="AK541" t="str">
            <v>solv.Less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</row>
        <row r="542">
          <cell r="K542" t="str">
            <v>SO24-2275</v>
          </cell>
          <cell r="L542" t="str">
            <v>EVERYDAY DHANIA-50GM R1</v>
          </cell>
          <cell r="M542" t="str">
            <v>C24-2276</v>
          </cell>
          <cell r="O542" t="str">
            <v>COMPLETED</v>
          </cell>
          <cell r="P542">
            <v>2000</v>
          </cell>
          <cell r="Q542">
            <v>1</v>
          </cell>
          <cell r="R542">
            <v>2000</v>
          </cell>
          <cell r="S542" t="str">
            <v>KG</v>
          </cell>
          <cell r="T542">
            <v>520.84432717678078</v>
          </cell>
          <cell r="U542">
            <v>33.99323372776275</v>
          </cell>
          <cell r="V542" t="e">
            <v>#N/A</v>
          </cell>
          <cell r="W542" t="str">
            <v>KG</v>
          </cell>
          <cell r="X542">
            <v>524</v>
          </cell>
          <cell r="Y542">
            <v>34.199190706174136</v>
          </cell>
          <cell r="Z542">
            <v>0</v>
          </cell>
          <cell r="AA542" t="str">
            <v>KG</v>
          </cell>
          <cell r="AB542">
            <v>0</v>
          </cell>
          <cell r="AC542">
            <v>-3.1556728232192199</v>
          </cell>
          <cell r="AD542">
            <v>-0.20595697841138366</v>
          </cell>
          <cell r="AE542" t="e">
            <v>#N/A</v>
          </cell>
          <cell r="AF542">
            <v>0</v>
          </cell>
          <cell r="AG542" t="e">
            <v>#N/A</v>
          </cell>
          <cell r="AH542" t="e">
            <v>#N/A</v>
          </cell>
          <cell r="AI542">
            <v>524</v>
          </cell>
          <cell r="AJ542">
            <v>0</v>
          </cell>
          <cell r="AK542" t="str">
            <v>solv.Less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</row>
        <row r="543">
          <cell r="K543" t="str">
            <v>SO24-2027</v>
          </cell>
          <cell r="L543" t="str">
            <v>Susmitas Choice 180g Muri Pouch </v>
          </cell>
          <cell r="M543" t="str">
            <v>C24-2283</v>
          </cell>
          <cell r="O543" t="str">
            <v>COMPLETED</v>
          </cell>
          <cell r="P543">
            <v>320.5</v>
          </cell>
          <cell r="Q543">
            <v>6.41</v>
          </cell>
          <cell r="R543">
            <v>50000</v>
          </cell>
          <cell r="S543" t="str">
            <v>NO</v>
          </cell>
          <cell r="T543">
            <v>115.86353965183748</v>
          </cell>
          <cell r="U543">
            <v>7.6130849367131557</v>
          </cell>
          <cell r="V543" t="e">
            <v>#N/A</v>
          </cell>
          <cell r="W543" t="str">
            <v>NO</v>
          </cell>
          <cell r="X543">
            <v>124</v>
          </cell>
          <cell r="Y543">
            <v>8.1477100992180844</v>
          </cell>
          <cell r="Z543">
            <v>0</v>
          </cell>
          <cell r="AA543" t="str">
            <v>NO</v>
          </cell>
          <cell r="AB543">
            <v>0</v>
          </cell>
          <cell r="AC543">
            <v>-8.1364603481625153</v>
          </cell>
          <cell r="AD543">
            <v>-0.5346251625049292</v>
          </cell>
          <cell r="AE543" t="e">
            <v>#N/A</v>
          </cell>
          <cell r="AF543">
            <v>0</v>
          </cell>
          <cell r="AG543" t="e">
            <v>#N/A</v>
          </cell>
          <cell r="AH543" t="e">
            <v>#N/A</v>
          </cell>
          <cell r="AI543">
            <v>124</v>
          </cell>
          <cell r="AJ543">
            <v>0</v>
          </cell>
          <cell r="AK543" t="str">
            <v>solv.Less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</row>
        <row r="544">
          <cell r="K544" t="str">
            <v>SO24-2111</v>
          </cell>
          <cell r="L544" t="str">
            <v>FW LAM IND EHC NATBLK 18M 8825 RL0123 (5007839)</v>
          </cell>
          <cell r="M544" t="str">
            <v>C24-2291</v>
          </cell>
          <cell r="O544" t="str">
            <v>COMPLETED</v>
          </cell>
          <cell r="P544">
            <v>3000</v>
          </cell>
          <cell r="Q544">
            <v>1</v>
          </cell>
          <cell r="R544">
            <v>3000</v>
          </cell>
          <cell r="S544" t="str">
            <v>KG</v>
          </cell>
          <cell r="T544">
            <v>805.81395348837202</v>
          </cell>
          <cell r="U544">
            <v>50.244042492104505</v>
          </cell>
          <cell r="V544" t="e">
            <v>#N/A</v>
          </cell>
          <cell r="W544" t="str">
            <v>KG</v>
          </cell>
          <cell r="X544">
            <v>845</v>
          </cell>
          <cell r="Y544">
            <v>52.687367502182319</v>
          </cell>
          <cell r="Z544">
            <v>0</v>
          </cell>
          <cell r="AA544" t="str">
            <v>KG</v>
          </cell>
          <cell r="AB544">
            <v>0</v>
          </cell>
          <cell r="AC544">
            <v>-39.186046511627978</v>
          </cell>
          <cell r="AD544">
            <v>-2.4433250100778139</v>
          </cell>
          <cell r="AE544" t="e">
            <v>#N/A</v>
          </cell>
          <cell r="AF544">
            <v>0</v>
          </cell>
          <cell r="AG544" t="e">
            <v>#N/A</v>
          </cell>
          <cell r="AH544" t="e">
            <v>#N/A</v>
          </cell>
          <cell r="AI544">
            <v>845</v>
          </cell>
          <cell r="AJ544">
            <v>0</v>
          </cell>
          <cell r="AK544" t="str">
            <v>solv.Less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</row>
        <row r="545">
          <cell r="K545" t="str">
            <v>SO24-2321</v>
          </cell>
          <cell r="L545" t="str">
            <v>MAGIC COOK ATTA- 1KG[ROLL]</v>
          </cell>
          <cell r="M545" t="str">
            <v>C24-2330</v>
          </cell>
          <cell r="O545" t="str">
            <v>COMPLETED</v>
          </cell>
          <cell r="P545">
            <v>500</v>
          </cell>
          <cell r="Q545">
            <v>1</v>
          </cell>
          <cell r="R545">
            <v>500</v>
          </cell>
          <cell r="S545" t="str">
            <v>KG</v>
          </cell>
          <cell r="T545">
            <v>128.74999999999997</v>
          </cell>
          <cell r="U545">
            <v>8.7674497786857337</v>
          </cell>
          <cell r="V545">
            <v>492.76157804459706</v>
          </cell>
          <cell r="W545" t="str">
            <v>KG</v>
          </cell>
          <cell r="X545">
            <v>133</v>
          </cell>
          <cell r="Y545">
            <v>9.0568607422540026</v>
          </cell>
          <cell r="Z545">
            <v>0</v>
          </cell>
          <cell r="AA545" t="str">
            <v>KG</v>
          </cell>
          <cell r="AB545">
            <v>0</v>
          </cell>
          <cell r="AC545">
            <v>-4.2500000000000284</v>
          </cell>
          <cell r="AD545">
            <v>-0.2894109635682689</v>
          </cell>
          <cell r="AE545">
            <v>0.81</v>
          </cell>
          <cell r="AF545">
            <v>0</v>
          </cell>
          <cell r="AG545">
            <v>0</v>
          </cell>
          <cell r="AH545">
            <v>0</v>
          </cell>
          <cell r="AI545">
            <v>133</v>
          </cell>
          <cell r="AJ545">
            <v>0</v>
          </cell>
          <cell r="AK545" t="str">
            <v>solv.Less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</row>
        <row r="546">
          <cell r="K546" t="str">
            <v>SO24-2322</v>
          </cell>
          <cell r="L546" t="str">
            <v>MAGIC COOK SOOJI 500GM</v>
          </cell>
          <cell r="M546" t="str">
            <v>C24-2331</v>
          </cell>
          <cell r="O546" t="str">
            <v>COMPLETED</v>
          </cell>
          <cell r="P546">
            <v>500</v>
          </cell>
          <cell r="Q546">
            <v>1</v>
          </cell>
          <cell r="R546">
            <v>500</v>
          </cell>
          <cell r="S546" t="str">
            <v>KG</v>
          </cell>
          <cell r="T546">
            <v>130.95714285714283</v>
          </cell>
          <cell r="U546">
            <v>9.027169149868536</v>
          </cell>
          <cell r="V546">
            <v>484.34652887155329</v>
          </cell>
          <cell r="W546" t="str">
            <v>KG</v>
          </cell>
          <cell r="X546">
            <v>133</v>
          </cell>
          <cell r="Y546">
            <v>9.1679878679258309</v>
          </cell>
          <cell r="Z546">
            <v>0</v>
          </cell>
          <cell r="AA546" t="str">
            <v>KG</v>
          </cell>
          <cell r="AB546">
            <v>0</v>
          </cell>
          <cell r="AC546">
            <v>-2.0428571428571729</v>
          </cell>
          <cell r="AD546">
            <v>-0.14081871805729465</v>
          </cell>
          <cell r="AE546">
            <v>0.8</v>
          </cell>
          <cell r="AF546">
            <v>0</v>
          </cell>
          <cell r="AG546">
            <v>0</v>
          </cell>
          <cell r="AH546">
            <v>0</v>
          </cell>
          <cell r="AI546">
            <v>133</v>
          </cell>
          <cell r="AJ546">
            <v>0</v>
          </cell>
          <cell r="AK546" t="str">
            <v>solv.Less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</row>
        <row r="547">
          <cell r="K547" t="str">
            <v>SO24-2318</v>
          </cell>
          <cell r="L547" t="str">
            <v>YUMMY BHUJIA (CHICKEN) RS 1/- 140MM, [12/30W][PMO74]</v>
          </cell>
          <cell r="M547" t="str">
            <v>C24-2333</v>
          </cell>
          <cell r="O547" t="str">
            <v>COMPLETED</v>
          </cell>
          <cell r="P547">
            <v>1000</v>
          </cell>
          <cell r="Q547">
            <v>1</v>
          </cell>
          <cell r="R547">
            <v>1000</v>
          </cell>
          <cell r="S547" t="str">
            <v>KG</v>
          </cell>
          <cell r="T547">
            <v>383.81249999999994</v>
          </cell>
          <cell r="U547">
            <v>25.219298245614034</v>
          </cell>
          <cell r="V547">
            <v>972.25042678776663</v>
          </cell>
          <cell r="W547" t="str">
            <v>KG</v>
          </cell>
          <cell r="X547">
            <v>389</v>
          </cell>
          <cell r="Y547">
            <v>25.560155069321247</v>
          </cell>
          <cell r="Z547">
            <v>0</v>
          </cell>
          <cell r="AA547" t="str">
            <v>KG</v>
          </cell>
          <cell r="AB547">
            <v>0</v>
          </cell>
          <cell r="AC547">
            <v>-5.1875000000000568</v>
          </cell>
          <cell r="AD547">
            <v>-0.34085682370721188</v>
          </cell>
          <cell r="AE547">
            <v>0.84</v>
          </cell>
          <cell r="AF547">
            <v>0</v>
          </cell>
          <cell r="AG547">
            <v>0</v>
          </cell>
          <cell r="AH547">
            <v>0</v>
          </cell>
          <cell r="AI547">
            <v>389</v>
          </cell>
          <cell r="AJ547">
            <v>0</v>
          </cell>
          <cell r="AK547" t="str">
            <v>solv.Less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</row>
        <row r="548">
          <cell r="K548" t="str">
            <v>SO24-2326</v>
          </cell>
          <cell r="L548" t="str">
            <v>EVERYDAY HALDI-100GM</v>
          </cell>
          <cell r="M548" t="str">
            <v>C24-2334</v>
          </cell>
          <cell r="O548" t="str">
            <v>COMPLETED</v>
          </cell>
          <cell r="P548">
            <v>1000</v>
          </cell>
          <cell r="Q548">
            <v>1</v>
          </cell>
          <cell r="R548">
            <v>1000</v>
          </cell>
          <cell r="S548" t="str">
            <v>KG</v>
          </cell>
          <cell r="T548">
            <v>257.58940397350989</v>
          </cell>
          <cell r="U548">
            <v>15.054463865667863</v>
          </cell>
          <cell r="V548">
            <v>1049.0083050625983</v>
          </cell>
          <cell r="W548" t="str">
            <v>KG</v>
          </cell>
          <cell r="X548">
            <v>280</v>
          </cell>
          <cell r="Y548">
            <v>16.364220800093513</v>
          </cell>
          <cell r="Z548">
            <v>0</v>
          </cell>
          <cell r="AA548" t="str">
            <v>KG</v>
          </cell>
          <cell r="AB548">
            <v>0</v>
          </cell>
          <cell r="AC548">
            <v>-22.410596026490111</v>
          </cell>
          <cell r="AD548">
            <v>-1.3097569344256519</v>
          </cell>
          <cell r="AE548">
            <v>0.9</v>
          </cell>
          <cell r="AF548">
            <v>0</v>
          </cell>
          <cell r="AG548">
            <v>0</v>
          </cell>
          <cell r="AH548">
            <v>0</v>
          </cell>
          <cell r="AI548">
            <v>280</v>
          </cell>
          <cell r="AJ548">
            <v>0</v>
          </cell>
          <cell r="AK548" t="str">
            <v>solv.Less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</row>
        <row r="549">
          <cell r="K549" t="str">
            <v>SO24-2327</v>
          </cell>
          <cell r="L549" t="str">
            <v>EVERYDAY HALDI-50GM</v>
          </cell>
          <cell r="M549" t="str">
            <v>C24-2335</v>
          </cell>
          <cell r="O549" t="str">
            <v>COMPLETED</v>
          </cell>
          <cell r="P549">
            <v>2000</v>
          </cell>
          <cell r="Q549">
            <v>1</v>
          </cell>
          <cell r="R549">
            <v>2000</v>
          </cell>
          <cell r="S549" t="str">
            <v>KG</v>
          </cell>
          <cell r="T549">
            <v>515.17880794701978</v>
          </cell>
          <cell r="U549">
            <v>33.803274692235817</v>
          </cell>
          <cell r="V549">
            <v>1959.1295041204144</v>
          </cell>
          <cell r="W549" t="str">
            <v>KG</v>
          </cell>
          <cell r="X549">
            <v>524</v>
          </cell>
          <cell r="Y549">
            <v>34.382074078934423</v>
          </cell>
          <cell r="Z549">
            <v>0</v>
          </cell>
          <cell r="AA549" t="str">
            <v>KG</v>
          </cell>
          <cell r="AB549">
            <v>0</v>
          </cell>
          <cell r="AC549">
            <v>-8.8211920529802228</v>
          </cell>
          <cell r="AD549">
            <v>-0.57879938669861386</v>
          </cell>
          <cell r="AE549">
            <v>0.8</v>
          </cell>
          <cell r="AF549">
            <v>0</v>
          </cell>
          <cell r="AG549">
            <v>0</v>
          </cell>
          <cell r="AH549">
            <v>0</v>
          </cell>
          <cell r="AI549">
            <v>524</v>
          </cell>
          <cell r="AJ549">
            <v>0</v>
          </cell>
          <cell r="AK549" t="str">
            <v>solv.Less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</row>
        <row r="550">
          <cell r="K550" t="str">
            <v>SO24-2328</v>
          </cell>
          <cell r="L550" t="str">
            <v>EVERYDAY SPICE JEERA RS-2/ (NEW)</v>
          </cell>
          <cell r="M550" t="str">
            <v>C24-2336</v>
          </cell>
          <cell r="O550" t="str">
            <v>COMPLETED</v>
          </cell>
          <cell r="P550">
            <v>2000</v>
          </cell>
          <cell r="Q550">
            <v>1</v>
          </cell>
          <cell r="R550">
            <v>2000</v>
          </cell>
          <cell r="S550" t="str">
            <v>KG</v>
          </cell>
          <cell r="T550">
            <v>520.84432717678078</v>
          </cell>
          <cell r="U550">
            <v>27.430183651610538</v>
          </cell>
          <cell r="V550" t="e">
            <v>#N/A</v>
          </cell>
          <cell r="W550" t="str">
            <v>KG</v>
          </cell>
          <cell r="X550">
            <v>536</v>
          </cell>
          <cell r="Y550">
            <v>28.228354750368659</v>
          </cell>
          <cell r="Z550">
            <v>0</v>
          </cell>
          <cell r="AA550" t="str">
            <v>KG</v>
          </cell>
          <cell r="AB550">
            <v>0</v>
          </cell>
          <cell r="AC550">
            <v>-15.15567282321922</v>
          </cell>
          <cell r="AD550">
            <v>-0.79817109875812209</v>
          </cell>
          <cell r="AE550" t="e">
            <v>#N/A</v>
          </cell>
          <cell r="AF550">
            <v>0</v>
          </cell>
          <cell r="AG550" t="e">
            <v>#N/A</v>
          </cell>
          <cell r="AH550" t="e">
            <v>#N/A</v>
          </cell>
          <cell r="AI550">
            <v>536</v>
          </cell>
          <cell r="AJ550">
            <v>0</v>
          </cell>
          <cell r="AK550" t="str">
            <v>solv.Less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</row>
        <row r="551">
          <cell r="K551" t="str">
            <v>SO24-2329</v>
          </cell>
          <cell r="L551" t="str">
            <v>EVERYDAY SPICE DHANIA Rs.2/-</v>
          </cell>
          <cell r="M551" t="str">
            <v>C24-2337</v>
          </cell>
          <cell r="O551" t="str">
            <v>COMPLETED</v>
          </cell>
          <cell r="P551">
            <v>2000</v>
          </cell>
          <cell r="Q551">
            <v>1</v>
          </cell>
          <cell r="R551">
            <v>2000</v>
          </cell>
          <cell r="S551" t="str">
            <v>KG</v>
          </cell>
          <cell r="T551">
            <v>520.84432717678078</v>
          </cell>
          <cell r="U551">
            <v>28.414856910899118</v>
          </cell>
          <cell r="V551" t="e">
            <v>#N/A</v>
          </cell>
          <cell r="W551" t="str">
            <v>KG</v>
          </cell>
          <cell r="X551">
            <v>539</v>
          </cell>
          <cell r="Y551">
            <v>29.405346426623026</v>
          </cell>
          <cell r="Z551">
            <v>0</v>
          </cell>
          <cell r="AA551" t="str">
            <v>KG</v>
          </cell>
          <cell r="AB551">
            <v>0</v>
          </cell>
          <cell r="AC551">
            <v>-18.15567282321922</v>
          </cell>
          <cell r="AD551">
            <v>-0.99048951572390742</v>
          </cell>
          <cell r="AE551" t="e">
            <v>#N/A</v>
          </cell>
          <cell r="AF551">
            <v>0</v>
          </cell>
          <cell r="AG551" t="e">
            <v>#N/A</v>
          </cell>
          <cell r="AH551" t="e">
            <v>#N/A</v>
          </cell>
          <cell r="AI551">
            <v>539</v>
          </cell>
          <cell r="AJ551">
            <v>0</v>
          </cell>
          <cell r="AK551" t="str">
            <v>solv.Less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</row>
        <row r="552">
          <cell r="K552" t="str">
            <v>SO24-2330</v>
          </cell>
          <cell r="L552" t="str">
            <v>EVERYDAY  MEAT MASALA RS 2/-</v>
          </cell>
          <cell r="M552" t="str">
            <v>C24-2338</v>
          </cell>
          <cell r="O552" t="str">
            <v>COMPLETED</v>
          </cell>
          <cell r="P552">
            <v>2000</v>
          </cell>
          <cell r="Q552">
            <v>1</v>
          </cell>
          <cell r="R552">
            <v>2000</v>
          </cell>
          <cell r="S552" t="str">
            <v>KG</v>
          </cell>
          <cell r="T552">
            <v>520.84432717678078</v>
          </cell>
          <cell r="U552">
            <v>27.430183651610538</v>
          </cell>
          <cell r="V552" t="e">
            <v>#N/A</v>
          </cell>
          <cell r="W552" t="str">
            <v>KG</v>
          </cell>
          <cell r="X552">
            <v>528</v>
          </cell>
          <cell r="Y552">
            <v>27.807036022751213</v>
          </cell>
          <cell r="Z552">
            <v>0</v>
          </cell>
          <cell r="AA552" t="str">
            <v>KG</v>
          </cell>
          <cell r="AB552">
            <v>0</v>
          </cell>
          <cell r="AC552">
            <v>-7.1556728232192199</v>
          </cell>
          <cell r="AD552">
            <v>-0.37685237114067943</v>
          </cell>
          <cell r="AE552" t="e">
            <v>#N/A</v>
          </cell>
          <cell r="AF552">
            <v>0</v>
          </cell>
          <cell r="AG552" t="e">
            <v>#N/A</v>
          </cell>
          <cell r="AH552" t="e">
            <v>#N/A</v>
          </cell>
          <cell r="AI552">
            <v>528</v>
          </cell>
          <cell r="AJ552">
            <v>0</v>
          </cell>
          <cell r="AK552" t="str">
            <v>solv.Less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</row>
        <row r="553">
          <cell r="K553" t="str">
            <v>SO24-2331</v>
          </cell>
          <cell r="L553" t="str">
            <v>EVERYDAY SPICE MIRCHA RS-2/ (NEW)</v>
          </cell>
          <cell r="M553" t="str">
            <v>C24-2339</v>
          </cell>
          <cell r="O553" t="str">
            <v>COMPLETED</v>
          </cell>
          <cell r="P553">
            <v>2000</v>
          </cell>
          <cell r="Q553">
            <v>1</v>
          </cell>
          <cell r="R553">
            <v>2000</v>
          </cell>
          <cell r="S553" t="str">
            <v>KG</v>
          </cell>
          <cell r="T553">
            <v>520.84432717678078</v>
          </cell>
          <cell r="U553">
            <v>27.430183651610538</v>
          </cell>
          <cell r="V553" t="e">
            <v>#N/A</v>
          </cell>
          <cell r="W553" t="str">
            <v>KG</v>
          </cell>
          <cell r="X553">
            <v>524</v>
          </cell>
          <cell r="Y553">
            <v>27.596376658942496</v>
          </cell>
          <cell r="Z553">
            <v>0</v>
          </cell>
          <cell r="AA553" t="str">
            <v>KG</v>
          </cell>
          <cell r="AB553">
            <v>0</v>
          </cell>
          <cell r="AC553">
            <v>-3.1556728232192199</v>
          </cell>
          <cell r="AD553">
            <v>-0.1661930073319581</v>
          </cell>
          <cell r="AE553" t="e">
            <v>#N/A</v>
          </cell>
          <cell r="AF553">
            <v>0</v>
          </cell>
          <cell r="AG553" t="e">
            <v>#N/A</v>
          </cell>
          <cell r="AH553" t="e">
            <v>#N/A</v>
          </cell>
          <cell r="AI553">
            <v>524</v>
          </cell>
          <cell r="AJ553">
            <v>0</v>
          </cell>
          <cell r="AK553" t="str">
            <v>solv.Less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</row>
        <row r="554">
          <cell r="K554" t="str">
            <v>SO24-2385</v>
          </cell>
          <cell r="L554" t="str">
            <v>EVERYDAY HALDI-50GM</v>
          </cell>
          <cell r="M554" t="str">
            <v>C24-2389</v>
          </cell>
          <cell r="O554" t="str">
            <v>COMPLETED</v>
          </cell>
          <cell r="P554">
            <v>2000</v>
          </cell>
          <cell r="Q554">
            <v>1</v>
          </cell>
          <cell r="R554">
            <v>2000</v>
          </cell>
          <cell r="S554" t="str">
            <v>KG</v>
          </cell>
          <cell r="T554">
            <v>515.17880794701978</v>
          </cell>
          <cell r="U554">
            <v>33.803274692235817</v>
          </cell>
          <cell r="V554">
            <v>1962.8683008840035</v>
          </cell>
          <cell r="W554" t="str">
            <v>KG</v>
          </cell>
          <cell r="X554">
            <v>525</v>
          </cell>
          <cell r="Y554">
            <v>34.447688724123239</v>
          </cell>
          <cell r="Z554">
            <v>0</v>
          </cell>
          <cell r="AA554" t="str">
            <v>KG</v>
          </cell>
          <cell r="AB554">
            <v>0</v>
          </cell>
          <cell r="AC554">
            <v>-9.8211920529802228</v>
          </cell>
          <cell r="AD554">
            <v>-0.64441403188742008</v>
          </cell>
          <cell r="AE554">
            <v>0.8</v>
          </cell>
          <cell r="AF554">
            <v>0</v>
          </cell>
          <cell r="AG554">
            <v>0</v>
          </cell>
          <cell r="AH554">
            <v>0</v>
          </cell>
          <cell r="AI554">
            <v>525</v>
          </cell>
          <cell r="AJ554">
            <v>0</v>
          </cell>
          <cell r="AK554" t="str">
            <v>solv.Less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</row>
        <row r="555">
          <cell r="K555" t="str">
            <v>SO24-2386</v>
          </cell>
          <cell r="L555" t="str">
            <v>EVERYDAY SPICE MIRCHI 50GM</v>
          </cell>
          <cell r="M555" t="str">
            <v>C24-2390</v>
          </cell>
          <cell r="O555" t="str">
            <v>COMPLETED</v>
          </cell>
          <cell r="P555">
            <v>2000</v>
          </cell>
          <cell r="Q555">
            <v>1</v>
          </cell>
          <cell r="R555">
            <v>2000</v>
          </cell>
          <cell r="S555" t="str">
            <v>KG</v>
          </cell>
          <cell r="T555">
            <v>515.17880794701978</v>
          </cell>
          <cell r="U555">
            <v>33.803274692235817</v>
          </cell>
          <cell r="V555">
            <v>1932.9579267752945</v>
          </cell>
          <cell r="W555" t="str">
            <v>KG</v>
          </cell>
          <cell r="X555">
            <v>517</v>
          </cell>
          <cell r="Y555">
            <v>33.922771562612787</v>
          </cell>
          <cell r="Z555">
            <v>0</v>
          </cell>
          <cell r="AA555" t="str">
            <v>KG</v>
          </cell>
          <cell r="AB555">
            <v>0</v>
          </cell>
          <cell r="AC555">
            <v>-1.8211920529802228</v>
          </cell>
          <cell r="AD555">
            <v>-0.11949687037697079</v>
          </cell>
          <cell r="AE555">
            <v>0.8</v>
          </cell>
          <cell r="AF555">
            <v>0</v>
          </cell>
          <cell r="AG555">
            <v>0</v>
          </cell>
          <cell r="AH555">
            <v>0</v>
          </cell>
          <cell r="AI555">
            <v>517</v>
          </cell>
          <cell r="AJ555">
            <v>0</v>
          </cell>
          <cell r="AK555" t="str">
            <v>solv.Less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</row>
        <row r="556">
          <cell r="K556" t="str">
            <v>SO24-2387</v>
          </cell>
          <cell r="L556" t="str">
            <v>Everyday Jeera 50g</v>
          </cell>
          <cell r="M556" t="str">
            <v>C24-2391</v>
          </cell>
          <cell r="O556" t="str">
            <v>COMPLETED</v>
          </cell>
          <cell r="P556">
            <v>2000</v>
          </cell>
          <cell r="Q556">
            <v>1</v>
          </cell>
          <cell r="R556">
            <v>2000</v>
          </cell>
          <cell r="S556" t="str">
            <v>KG</v>
          </cell>
          <cell r="T556">
            <v>520.84432717678078</v>
          </cell>
          <cell r="U556">
            <v>33.99323372776275</v>
          </cell>
          <cell r="V556" t="e">
            <v>#N/A</v>
          </cell>
          <cell r="W556" t="str">
            <v>KG</v>
          </cell>
          <cell r="X556">
            <v>523</v>
          </cell>
          <cell r="Y556">
            <v>34.13392507505548</v>
          </cell>
          <cell r="Z556">
            <v>0</v>
          </cell>
          <cell r="AA556" t="str">
            <v>KG</v>
          </cell>
          <cell r="AB556">
            <v>0</v>
          </cell>
          <cell r="AC556">
            <v>-2.1556728232192199</v>
          </cell>
          <cell r="AD556">
            <v>-0.14069134729273075</v>
          </cell>
          <cell r="AE556" t="e">
            <v>#N/A</v>
          </cell>
          <cell r="AF556">
            <v>0</v>
          </cell>
          <cell r="AG556" t="e">
            <v>#N/A</v>
          </cell>
          <cell r="AH556" t="e">
            <v>#N/A</v>
          </cell>
          <cell r="AI556">
            <v>523</v>
          </cell>
          <cell r="AJ556">
            <v>0</v>
          </cell>
          <cell r="AK556" t="str">
            <v>solv.Less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</row>
        <row r="557">
          <cell r="K557" t="str">
            <v>SO24-2393</v>
          </cell>
          <cell r="L557" t="str">
            <v>EVERYDAY HALDI-50GM</v>
          </cell>
          <cell r="M557" t="str">
            <v>C24-2396</v>
          </cell>
          <cell r="O557" t="str">
            <v>COMPLETED</v>
          </cell>
          <cell r="P557">
            <v>2000</v>
          </cell>
          <cell r="Q557">
            <v>1</v>
          </cell>
          <cell r="R557">
            <v>2000</v>
          </cell>
          <cell r="S557" t="str">
            <v>KG</v>
          </cell>
          <cell r="T557">
            <v>515.17880794701978</v>
          </cell>
          <cell r="U557">
            <v>33.803274692235817</v>
          </cell>
          <cell r="V557">
            <v>1947.9131138296491</v>
          </cell>
          <cell r="W557" t="str">
            <v>KG</v>
          </cell>
          <cell r="X557">
            <v>521</v>
          </cell>
          <cell r="Y557">
            <v>34.18523014336801</v>
          </cell>
          <cell r="Z557">
            <v>0</v>
          </cell>
          <cell r="AA557" t="str">
            <v>KG</v>
          </cell>
          <cell r="AB557">
            <v>0</v>
          </cell>
          <cell r="AC557">
            <v>-5.8211920529802228</v>
          </cell>
          <cell r="AD557">
            <v>-0.38195545113219542</v>
          </cell>
          <cell r="AE557">
            <v>0.8</v>
          </cell>
          <cell r="AF557">
            <v>0</v>
          </cell>
          <cell r="AG557">
            <v>0</v>
          </cell>
          <cell r="AH557">
            <v>0</v>
          </cell>
          <cell r="AI557">
            <v>521</v>
          </cell>
          <cell r="AJ557">
            <v>0</v>
          </cell>
          <cell r="AK557" t="str">
            <v>solv.Less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</row>
        <row r="558">
          <cell r="K558" t="str">
            <v>SO24-2434</v>
          </cell>
          <cell r="L558" t="str">
            <v>RUM PUM -2 MINUTES INNER SEASONING VEG (GREEN)[MATTE-PET]12/12/30</v>
          </cell>
          <cell r="M558" t="str">
            <v>C24-2450</v>
          </cell>
          <cell r="O558" t="str">
            <v>COMPLETED</v>
          </cell>
          <cell r="P558">
            <v>3500</v>
          </cell>
          <cell r="Q558">
            <v>1</v>
          </cell>
          <cell r="R558">
            <v>3500</v>
          </cell>
          <cell r="S558" t="str">
            <v>KG</v>
          </cell>
          <cell r="T558">
            <v>968.79999999999984</v>
          </cell>
          <cell r="U558">
            <v>61.202185792349731</v>
          </cell>
          <cell r="V558">
            <v>3371.392200018237</v>
          </cell>
          <cell r="W558" t="str">
            <v>KG</v>
          </cell>
          <cell r="X558">
            <v>967</v>
          </cell>
          <cell r="Y558">
            <v>61.088474051612501</v>
          </cell>
          <cell r="Z558">
            <v>1.7999999999998408</v>
          </cell>
          <cell r="AA558" t="str">
            <v>KG</v>
          </cell>
          <cell r="AB558">
            <v>0.11371174073723012</v>
          </cell>
          <cell r="AC558">
            <v>1.7999999999998408</v>
          </cell>
          <cell r="AD558">
            <v>0.11371174073722107</v>
          </cell>
          <cell r="AE558">
            <v>0.9</v>
          </cell>
          <cell r="AF558">
            <v>0</v>
          </cell>
          <cell r="AG558">
            <v>0</v>
          </cell>
          <cell r="AH558">
            <v>0.22742348147446023</v>
          </cell>
          <cell r="AI558">
            <v>967</v>
          </cell>
          <cell r="AJ558">
            <v>0</v>
          </cell>
          <cell r="AK558" t="str">
            <v>solv.Less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</row>
        <row r="559">
          <cell r="K559" t="str">
            <v>SO24-2439</v>
          </cell>
          <cell r="L559" t="str">
            <v>ASIAN NON VEG  SEASONING INNER  -RED (CW-85MM)[12/40]</v>
          </cell>
          <cell r="M559" t="str">
            <v>C24-2455</v>
          </cell>
          <cell r="O559" t="str">
            <v>COMPLETED</v>
          </cell>
          <cell r="P559">
            <v>2000</v>
          </cell>
          <cell r="Q559">
            <v>1</v>
          </cell>
          <cell r="R559">
            <v>2000</v>
          </cell>
          <cell r="S559" t="str">
            <v>KG</v>
          </cell>
          <cell r="T559">
            <v>656.79144385026723</v>
          </cell>
          <cell r="U559">
            <v>42.657104880838304</v>
          </cell>
          <cell r="V559">
            <v>1942.9492513243822</v>
          </cell>
          <cell r="W559" t="str">
            <v>KG</v>
          </cell>
          <cell r="X559">
            <v>665</v>
          </cell>
          <cell r="Y559">
            <v>43.190231863350007</v>
          </cell>
          <cell r="Z559">
            <v>0</v>
          </cell>
          <cell r="AA559" t="str">
            <v>KG</v>
          </cell>
          <cell r="AB559">
            <v>0</v>
          </cell>
          <cell r="AC559">
            <v>-8.2085561497327717</v>
          </cell>
          <cell r="AD559">
            <v>-0.53312698251170831</v>
          </cell>
          <cell r="AE559">
            <v>0.85</v>
          </cell>
          <cell r="AF559">
            <v>0</v>
          </cell>
          <cell r="AG559">
            <v>0</v>
          </cell>
          <cell r="AH559">
            <v>0</v>
          </cell>
          <cell r="AI559">
            <v>665</v>
          </cell>
          <cell r="AJ559">
            <v>0</v>
          </cell>
          <cell r="AK559" t="str">
            <v>solv.Less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</row>
        <row r="560">
          <cell r="K560" t="str">
            <v>SO24-1224</v>
          </cell>
          <cell r="L560" t="str">
            <v>PTD-TRADITIONAL  POUCH-GREEN-200GM(130X217.5+45)</v>
          </cell>
          <cell r="M560" t="str">
            <v>C24-1232</v>
          </cell>
          <cell r="O560" t="str">
            <v>BAL</v>
          </cell>
          <cell r="P560">
            <v>100</v>
          </cell>
          <cell r="Q560">
            <v>1</v>
          </cell>
          <cell r="R560">
            <v>100</v>
          </cell>
          <cell r="S560" t="str">
            <v>KG</v>
          </cell>
          <cell r="T560">
            <v>17.814167433302668</v>
          </cell>
          <cell r="U560">
            <v>0.88972966902920136</v>
          </cell>
          <cell r="V560">
            <v>177.46775716523149</v>
          </cell>
          <cell r="W560" t="str">
            <v>KG</v>
          </cell>
          <cell r="X560">
            <v>33</v>
          </cell>
          <cell r="Y560">
            <v>1.6481869943062635</v>
          </cell>
          <cell r="Z560">
            <v>0</v>
          </cell>
          <cell r="AA560" t="str">
            <v>KG</v>
          </cell>
          <cell r="AB560">
            <v>0</v>
          </cell>
          <cell r="AC560">
            <v>-4.1858325666973322</v>
          </cell>
          <cell r="AD560">
            <v>-0.20906166050830752</v>
          </cell>
          <cell r="AE560">
            <v>1.05</v>
          </cell>
          <cell r="AF560">
            <v>0</v>
          </cell>
          <cell r="AG560">
            <v>0</v>
          </cell>
          <cell r="AH560">
            <v>0</v>
          </cell>
          <cell r="AI560">
            <v>22</v>
          </cell>
          <cell r="AJ560">
            <v>11</v>
          </cell>
          <cell r="AK560" t="str">
            <v>solv.base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</row>
        <row r="561">
          <cell r="K561" t="str">
            <v>SO24-1017</v>
          </cell>
          <cell r="L561" t="str">
            <v>ITC A.Atta 5kg Mic per (CL No2-10;13;22;26;28;30;31;34;38:39)(FPAT01668)R2</v>
          </cell>
          <cell r="M561" t="str">
            <v>C24-1309</v>
          </cell>
          <cell r="O561" t="str">
            <v>COMPLETED</v>
          </cell>
          <cell r="P561">
            <v>10000</v>
          </cell>
          <cell r="Q561">
            <v>1</v>
          </cell>
          <cell r="R561">
            <v>10000</v>
          </cell>
          <cell r="S561" t="str">
            <v>KG</v>
          </cell>
          <cell r="T561">
            <v>2684.3229028444593</v>
          </cell>
          <cell r="U561">
            <v>184.96626376189212</v>
          </cell>
          <cell r="V561" t="e">
            <v>#N/A</v>
          </cell>
          <cell r="W561" t="str">
            <v>KG</v>
          </cell>
          <cell r="X561">
            <v>2692</v>
          </cell>
          <cell r="Y561">
            <v>185.49526270456502</v>
          </cell>
          <cell r="Z561">
            <v>0</v>
          </cell>
          <cell r="AA561" t="str">
            <v>KG</v>
          </cell>
          <cell r="AB561">
            <v>0</v>
          </cell>
          <cell r="AC561">
            <v>-7.6770971555406504</v>
          </cell>
          <cell r="AD561">
            <v>-0.52899894267291303</v>
          </cell>
          <cell r="AE561" t="e">
            <v>#N/A</v>
          </cell>
          <cell r="AF561">
            <v>0</v>
          </cell>
          <cell r="AG561" t="e">
            <v>#N/A</v>
          </cell>
          <cell r="AH561" t="e">
            <v>#N/A</v>
          </cell>
          <cell r="AI561">
            <v>2692</v>
          </cell>
          <cell r="AJ561">
            <v>0</v>
          </cell>
          <cell r="AK561" t="str">
            <v>solv.Less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</row>
        <row r="562">
          <cell r="K562" t="str">
            <v>SO24-1018</v>
          </cell>
          <cell r="L562" t="str">
            <v>ITC A.Atta 5kg Mic per (CL No2-10;13;22;26;28;30;31;34;38:39)(FPAT01668)R2</v>
          </cell>
          <cell r="M562" t="str">
            <v>C24-1360</v>
          </cell>
          <cell r="O562" t="str">
            <v>COMPLETED</v>
          </cell>
          <cell r="P562">
            <v>20000</v>
          </cell>
          <cell r="Q562">
            <v>1</v>
          </cell>
          <cell r="R562">
            <v>20000</v>
          </cell>
          <cell r="S562" t="str">
            <v>KG</v>
          </cell>
          <cell r="T562">
            <v>5368.6458056889187</v>
          </cell>
          <cell r="U562">
            <v>369.93252752378424</v>
          </cell>
          <cell r="V562" t="e">
            <v>#N/A</v>
          </cell>
          <cell r="W562" t="str">
            <v>KG</v>
          </cell>
          <cell r="X562">
            <v>5418</v>
          </cell>
          <cell r="Y562">
            <v>373.33333333333331</v>
          </cell>
          <cell r="Z562">
            <v>0</v>
          </cell>
          <cell r="AA562" t="str">
            <v>KG</v>
          </cell>
          <cell r="AB562">
            <v>0</v>
          </cell>
          <cell r="AC562">
            <v>-49.354194311081301</v>
          </cell>
          <cell r="AD562">
            <v>-3.4008058095490985</v>
          </cell>
          <cell r="AE562" t="e">
            <v>#N/A</v>
          </cell>
          <cell r="AF562">
            <v>0</v>
          </cell>
          <cell r="AG562" t="e">
            <v>#N/A</v>
          </cell>
          <cell r="AH562" t="e">
            <v>#N/A</v>
          </cell>
          <cell r="AI562">
            <v>5418</v>
          </cell>
          <cell r="AJ562">
            <v>0</v>
          </cell>
          <cell r="AK562" t="str">
            <v>solv.Less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</row>
        <row r="563">
          <cell r="K563" t="str">
            <v>SO24-1459</v>
          </cell>
          <cell r="L563" t="str">
            <v>HOMA BROWN BREAD BIG WNW(R1)</v>
          </cell>
          <cell r="M563" t="str">
            <v>C24-1466</v>
          </cell>
          <cell r="O563" t="str">
            <v>BAL</v>
          </cell>
          <cell r="P563">
            <v>1050</v>
          </cell>
          <cell r="Q563">
            <v>1</v>
          </cell>
          <cell r="R563">
            <v>1050</v>
          </cell>
          <cell r="S563" t="str">
            <v>KG</v>
          </cell>
          <cell r="T563" t="e">
            <v>#N/A</v>
          </cell>
          <cell r="U563" t="e">
            <v>#N/A</v>
          </cell>
          <cell r="V563" t="e">
            <v>#N/A</v>
          </cell>
          <cell r="W563" t="str">
            <v>KG</v>
          </cell>
          <cell r="X563">
            <v>496</v>
          </cell>
          <cell r="Y563" t="e">
            <v>#N/A</v>
          </cell>
          <cell r="Z563" t="e">
            <v>#N/A</v>
          </cell>
          <cell r="AA563" t="str">
            <v>KG</v>
          </cell>
          <cell r="AB563" t="e">
            <v>#N/A</v>
          </cell>
          <cell r="AC563" t="e">
            <v>#N/A</v>
          </cell>
          <cell r="AD563" t="e">
            <v>#N/A</v>
          </cell>
          <cell r="AE563" t="e">
            <v>#N/A</v>
          </cell>
          <cell r="AF563" t="e">
            <v>#N/A</v>
          </cell>
          <cell r="AG563" t="e">
            <v>#N/A</v>
          </cell>
          <cell r="AH563" t="e">
            <v>#N/A</v>
          </cell>
          <cell r="AI563">
            <v>483</v>
          </cell>
          <cell r="AJ563">
            <v>13</v>
          </cell>
          <cell r="AK563" t="e">
            <v>#N/A</v>
          </cell>
          <cell r="AL563" t="e">
            <v>#N/A</v>
          </cell>
          <cell r="AM563">
            <v>0</v>
          </cell>
          <cell r="AN563">
            <v>0</v>
          </cell>
          <cell r="AO563">
            <v>0</v>
          </cell>
        </row>
        <row r="564">
          <cell r="K564" t="str">
            <v>SO24-1802</v>
          </cell>
          <cell r="L564" t="str">
            <v>KAPPI-FRONT-TPT AND BACK AND GUSSET GREEN-[PW-235MM/PL-345MM]ZIPPER STANDY-[BACK-PTD-JOB]-[12pet/12mpet/95PE Nat]-[CW-485MM]</v>
          </cell>
          <cell r="M564" t="str">
            <v>C24-1784</v>
          </cell>
          <cell r="O564" t="str">
            <v>BAL</v>
          </cell>
          <cell r="P564">
            <v>60.4</v>
          </cell>
          <cell r="Q564">
            <v>15.1</v>
          </cell>
          <cell r="R564">
            <v>4000</v>
          </cell>
          <cell r="S564" t="str">
            <v>NO</v>
          </cell>
          <cell r="T564">
            <v>11.72964640444974</v>
          </cell>
          <cell r="U564">
            <v>0.95254559074628398</v>
          </cell>
          <cell r="V564" t="e">
            <v>#N/A</v>
          </cell>
          <cell r="W564" t="str">
            <v>NO</v>
          </cell>
          <cell r="X564">
            <v>19</v>
          </cell>
          <cell r="Y564">
            <v>1.5429592333928863</v>
          </cell>
          <cell r="Z564">
            <v>0</v>
          </cell>
          <cell r="AA564" t="str">
            <v>NO</v>
          </cell>
          <cell r="AB564">
            <v>0</v>
          </cell>
          <cell r="AC564">
            <v>11.72964640444974</v>
          </cell>
          <cell r="AD564">
            <v>0.95254559074628398</v>
          </cell>
          <cell r="AE564" t="e">
            <v>#N/A</v>
          </cell>
          <cell r="AF564">
            <v>0</v>
          </cell>
          <cell r="AG564" t="e">
            <v>#N/A</v>
          </cell>
          <cell r="AH564" t="e">
            <v>#N/A</v>
          </cell>
          <cell r="AI564">
            <v>0</v>
          </cell>
          <cell r="AJ564">
            <v>19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</row>
        <row r="565">
          <cell r="K565" t="str">
            <v>SO24-1803</v>
          </cell>
          <cell r="L565" t="str">
            <v>KAPPI-FRONT-TPT AND BACK AND GUSSET GREEN-[PW-235MM/PL-345MM]ZIPPER STANDY-[FRONT-UNPTD-JOB]-[12PET/12PET/95 PE NAT]-[CW-355MM]</v>
          </cell>
          <cell r="M565" t="str">
            <v>C24-1785</v>
          </cell>
          <cell r="O565" t="str">
            <v>BAL</v>
          </cell>
          <cell r="P565">
            <v>4</v>
          </cell>
          <cell r="Q565">
            <v>1</v>
          </cell>
          <cell r="R565">
            <v>4000</v>
          </cell>
          <cell r="S565" t="str">
            <v>NO</v>
          </cell>
          <cell r="T565" t="e">
            <v>#DIV/0!</v>
          </cell>
          <cell r="U565" t="e">
            <v>#DIV/0!</v>
          </cell>
          <cell r="V565" t="e">
            <v>#DIV/0!</v>
          </cell>
          <cell r="W565" t="str">
            <v>NO</v>
          </cell>
          <cell r="X565">
            <v>0</v>
          </cell>
          <cell r="Y565" t="e">
            <v>#DIV/0!</v>
          </cell>
          <cell r="Z565" t="e">
            <v>#DIV/0!</v>
          </cell>
          <cell r="AA565" t="str">
            <v>NO</v>
          </cell>
          <cell r="AB565" t="e">
            <v>#DIV/0!</v>
          </cell>
          <cell r="AC565" t="e">
            <v>#DIV/0!</v>
          </cell>
          <cell r="AD565" t="e">
            <v>#DIV/0!</v>
          </cell>
          <cell r="AE565" t="e">
            <v>#N/A</v>
          </cell>
          <cell r="AF565">
            <v>0</v>
          </cell>
          <cell r="AG565" t="e">
            <v>#N/A</v>
          </cell>
          <cell r="AH565" t="e">
            <v>#N/A</v>
          </cell>
          <cell r="AI565">
            <v>0</v>
          </cell>
          <cell r="AJ565">
            <v>0</v>
          </cell>
          <cell r="AK565">
            <v>0</v>
          </cell>
          <cell r="AL565" t="e">
            <v>#DIV/0!</v>
          </cell>
          <cell r="AM565">
            <v>0</v>
          </cell>
          <cell r="AN565">
            <v>0</v>
          </cell>
          <cell r="AO565">
            <v>0</v>
          </cell>
        </row>
        <row r="566">
          <cell r="K566" t="str">
            <v>SO24-1935</v>
          </cell>
          <cell r="L566" t="str">
            <v>Plain laminate Namkeen inner Pouch  (150x180)mm</v>
          </cell>
          <cell r="M566" t="str">
            <v>C24-1901</v>
          </cell>
          <cell r="O566" t="str">
            <v>BAL</v>
          </cell>
          <cell r="P566">
            <v>50</v>
          </cell>
          <cell r="Q566">
            <v>1</v>
          </cell>
          <cell r="R566">
            <v>50</v>
          </cell>
          <cell r="S566" t="str">
            <v>KG</v>
          </cell>
          <cell r="T566" t="e">
            <v>#DIV/0!</v>
          </cell>
          <cell r="U566" t="e">
            <v>#DIV/0!</v>
          </cell>
          <cell r="V566" t="e">
            <v>#DIV/0!</v>
          </cell>
          <cell r="W566" t="str">
            <v>KG</v>
          </cell>
          <cell r="X566">
            <v>0</v>
          </cell>
          <cell r="Y566" t="e">
            <v>#DIV/0!</v>
          </cell>
          <cell r="Z566" t="e">
            <v>#DIV/0!</v>
          </cell>
          <cell r="AA566" t="str">
            <v>KG</v>
          </cell>
          <cell r="AB566" t="e">
            <v>#DIV/0!</v>
          </cell>
          <cell r="AC566" t="e">
            <v>#DIV/0!</v>
          </cell>
          <cell r="AD566" t="e">
            <v>#DIV/0!</v>
          </cell>
          <cell r="AE566" t="e">
            <v>#N/A</v>
          </cell>
          <cell r="AF566">
            <v>0</v>
          </cell>
          <cell r="AG566" t="e">
            <v>#N/A</v>
          </cell>
          <cell r="AH566" t="e">
            <v>#N/A</v>
          </cell>
          <cell r="AI566">
            <v>0</v>
          </cell>
          <cell r="AJ566">
            <v>0</v>
          </cell>
          <cell r="AK566">
            <v>0</v>
          </cell>
          <cell r="AL566" t="e">
            <v>#DIV/0!</v>
          </cell>
          <cell r="AM566">
            <v>0</v>
          </cell>
          <cell r="AN566">
            <v>0</v>
          </cell>
          <cell r="AO566">
            <v>0</v>
          </cell>
        </row>
        <row r="567">
          <cell r="K567" t="str">
            <v>SO24-2409</v>
          </cell>
          <cell r="L567" t="str">
            <v>ITC A.Atta 1kg(CL NO.3- 10,22,26,28,29,38,39,56 )(FPAT01286)R1</v>
          </cell>
          <cell r="M567">
            <v>0</v>
          </cell>
          <cell r="O567" t="str">
            <v>BAL</v>
          </cell>
          <cell r="P567">
            <v>10000</v>
          </cell>
          <cell r="Q567">
            <v>1</v>
          </cell>
          <cell r="R567">
            <v>10000</v>
          </cell>
          <cell r="S567" t="str">
            <v>KG</v>
          </cell>
          <cell r="T567">
            <v>3268.9466484268128</v>
          </cell>
          <cell r="U567">
            <v>154.62592348643929</v>
          </cell>
          <cell r="V567" t="e">
            <v>#N/A</v>
          </cell>
          <cell r="W567" t="str">
            <v>KG</v>
          </cell>
          <cell r="X567">
            <v>0</v>
          </cell>
          <cell r="Y567">
            <v>0</v>
          </cell>
          <cell r="Z567">
            <v>3268.9466484268128</v>
          </cell>
          <cell r="AA567" t="str">
            <v>KG</v>
          </cell>
          <cell r="AB567">
            <v>154.62592348643929</v>
          </cell>
          <cell r="AC567">
            <v>3268.9466484268128</v>
          </cell>
          <cell r="AD567">
            <v>154.62592348643929</v>
          </cell>
          <cell r="AE567" t="e">
            <v>#N/A</v>
          </cell>
          <cell r="AF567">
            <v>0</v>
          </cell>
          <cell r="AG567" t="e">
            <v>#N/A</v>
          </cell>
          <cell r="AH567" t="e">
            <v>#N/A</v>
          </cell>
          <cell r="AI567">
            <v>0</v>
          </cell>
          <cell r="AJ567">
            <v>0</v>
          </cell>
          <cell r="AK567" t="str">
            <v>solv.Less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irupam Acharjee" id="{47780C4E-09EC-4C51-AF30-BD34E0E039CD}" userId="ebfa92887911999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86BC1-C0C0-4F7E-B227-472A8E619842}" name="FlexibizExcel" displayName="FlexibizExcel" ref="A2:N321" totalsRowShown="0" headerRowDxfId="270" headerRowBorderDxfId="269" tableBorderDxfId="268" totalsRowBorderDxfId="267">
  <autoFilter ref="A2:N321" xr:uid="{DDC86BC1-C0C0-4F7E-B227-472A8E619842}">
    <filterColumn colId="5">
      <filters>
        <filter val="1175"/>
      </filters>
    </filterColumn>
  </autoFilter>
  <tableColumns count="14">
    <tableColumn id="1" xr3:uid="{9522AC3B-928D-45E0-A623-A6F50274FF73}" name="ITEMTYPE" dataDxfId="266"/>
    <tableColumn id="2" xr3:uid="{E0BB3FD4-DEFA-42D5-A8B9-B11688B21E91}" name="ITEMSUBTYPE" dataDxfId="265"/>
    <tableColumn id="3" xr3:uid="{9696E8B0-F70C-4F00-A80C-36012399A450}" name="ITEMCODE" dataDxfId="264"/>
    <tableColumn id="4" xr3:uid="{015B1927-5193-4DDA-BAC1-76A731F86318}" name="ITEMNAME" dataDxfId="263"/>
    <tableColumn id="5" xr3:uid="{2C1BCF9D-76E9-4B3D-9E37-9A351BFCE36E}" name="THICKNESS" dataDxfId="262"/>
    <tableColumn id="6" xr3:uid="{3DDDD7BD-E088-4E65-9860-8549DB0BF715}" name="WIDTH" dataDxfId="261"/>
    <tableColumn id="7" xr3:uid="{7136F992-E8DE-47A6-BE5E-96987D6F881C}" name="STORESTOCK" dataDxfId="260"/>
    <tableColumn id="8" xr3:uid="{89278941-EFA6-4422-B793-F0943377A0FF}" name="QCHOLD" dataDxfId="259"/>
    <tableColumn id="9" xr3:uid="{2D562CC0-CEE0-464E-8E9B-D4DA8CFDBC16}" name="LAST30CONS" dataDxfId="258"/>
    <tableColumn id="10" xr3:uid="{3B8955E7-FEA2-4594-A700-82F26EE7A06F}" name="PENDINGPO" dataDxfId="257"/>
    <tableColumn id="11" xr3:uid="{4A88F3FA-EA9C-4DDB-8013-59881D0EE54D}" name="QCPENDING" dataDxfId="256"/>
    <tableColumn id="12" xr3:uid="{0D6C709E-48B8-46A2-8BAB-68B77A345139}" name="PROCESSSTOCK" dataDxfId="255"/>
    <tableColumn id="13" xr3:uid="{25540A3C-6577-46E3-9406-D71193F2A5B0}" name="PENDINGMOVEMENT" dataDxfId="254"/>
    <tableColumn id="14" xr3:uid="{91BC3A07-04A7-4E22-8149-D8CA0DDE6073}" name="Total Stock" dataDxfId="2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1FC2EF-7E5C-4F37-A4EA-7382C6684463}" name="FlexibizExcel3" displayName="FlexibizExcel3" ref="A322:N532" totalsRowShown="0" headerRowDxfId="252" headerRowBorderDxfId="251" tableBorderDxfId="250" totalsRowBorderDxfId="249">
  <autoFilter ref="A322:N532" xr:uid="{1E1FC2EF-7E5C-4F37-A4EA-7382C6684463}"/>
  <tableColumns count="14">
    <tableColumn id="1" xr3:uid="{B4B80995-5B3D-4C10-8A91-E59CF10BB726}" name="LASTRECEIPTDATE" dataDxfId="248"/>
    <tableColumn id="2" xr3:uid="{C163CDDB-D7C2-47D0-9150-406EB5D75577}" name="ITEMTYPE" dataDxfId="247"/>
    <tableColumn id="3" xr3:uid="{51ACD864-8567-439D-87C8-B18476A18449}" name="ITEMCODE" dataDxfId="246"/>
    <tableColumn id="4" xr3:uid="{C977AA89-B9CB-4F2F-A077-84EA9834A290}" name="ITEMNAME" dataDxfId="245"/>
    <tableColumn id="5" xr3:uid="{9EDA56BA-7690-40CB-A1E6-97B8D5E411F1}" name="THICK" dataDxfId="244"/>
    <tableColumn id="6" xr3:uid="{C4C53058-B50C-4632-95F9-B14CF509BE57}" name="WIDTH" dataDxfId="243"/>
    <tableColumn id="7" xr3:uid="{07C61398-9ADF-4903-8AE9-F26798BB105E}" name="STORESTOCK" dataDxfId="242"/>
    <tableColumn id="8" xr3:uid="{85AE601C-86F6-4C31-958A-FC37A560E3DD}" name="QCHOLD" dataDxfId="241"/>
    <tableColumn id="9" xr3:uid="{F2457588-8E52-4947-AA50-AA159ED6E8CA}" name="LAST31CONS" dataDxfId="240"/>
    <tableColumn id="10" xr3:uid="{8A72CC16-45FD-4148-BE12-BADE1088EFFD}" name="OPENORDER_KG" dataDxfId="239"/>
    <tableColumn id="11" xr3:uid="{DC0EA0FC-128E-47B5-8018-DF3D313FD3B2}" name="PENDINGINDENT" dataDxfId="238"/>
    <tableColumn id="12" xr3:uid="{C161231F-0343-4697-B529-C68399033F89}" name="PROCESSSTOCK" dataDxfId="237"/>
    <tableColumn id="13" xr3:uid="{938B2ABC-C426-4C05-A43C-9EA6A6E49547}" name="PENDINGMOVEMENT" dataDxfId="236"/>
    <tableColumn id="14" xr3:uid="{DD6E9789-30E7-42B6-8B52-5F0E9A583214}" name="Total Stock" dataDxfId="2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8" dT="2023-03-12T15:08:15.62" personId="{47780C4E-09EC-4C51-AF30-BD34E0E039CD}" id="{CEA7DAEB-115E-4245-8973-764605A8F0CB}">
    <text>7COL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484" dT="2023-03-12T15:08:15.62" personId="{47780C4E-09EC-4C51-AF30-BD34E0E039CD}" id="{CEA7DAEB-115E-4246-8973-764605A8F0CB}">
    <text>7COL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129" dT="2022-10-06T15:38:04.35" personId="{47780C4E-09EC-4C51-AF30-BD34E0E039CD}" id="{E9C9DC69-E10A-4D76-9721-24CAE3BE3265}">
    <text xml:space="preserve">NO PKD/NO MRP REQUIRED
</text>
  </threadedComment>
  <threadedComment ref="A2130" dT="2022-10-06T15:38:04.35" personId="{47780C4E-09EC-4C51-AF30-BD34E0E039CD}" id="{E9C9DC69-E10A-4D7D-9721-24CAE3BE3265}">
    <text xml:space="preserve">NO PKD/NO MRP REQUIRED
</text>
  </threadedComment>
  <threadedComment ref="A2131" dT="2022-10-06T15:38:04.35" personId="{47780C4E-09EC-4C51-AF30-BD34E0E039CD}" id="{E9C9DC69-E10A-4D78-9721-24CAE3BE3265}">
    <text xml:space="preserve">NO PKD/NO MRP REQUIRED
</text>
  </threadedComment>
  <threadedComment ref="A2240" dT="2023-01-23T04:28:43.39" personId="{47780C4E-09EC-4C51-AF30-BD34E0E039CD}" id="{C79A8B66-AACD-4367-A18E-B8D4D28858B8}">
    <text>CONE ISSUE SO PELICAN ONLY</text>
  </threadedComment>
  <threadedComment ref="A2290" dT="2023-03-12T15:07:53.06" personId="{47780C4E-09EC-4C51-AF30-BD34E0E039CD}" id="{40DC6056-B2A5-4829-A545-5A28B9BE6F93}">
    <text>7COL</text>
  </threadedComment>
  <threadedComment ref="A2291" dT="2023-03-12T15:08:15.62" personId="{47780C4E-09EC-4C51-AF30-BD34E0E039CD}" id="{CEA7DAEB-115E-4248-8973-764605A8F0CB}">
    <text>7COL</text>
  </threadedComment>
  <threadedComment ref="A2539" dT="2023-10-09T14:06:41.85" personId="{47780C4E-09EC-4C51-AF30-BD34E0E039CD}" id="{7D876062-E977-4428-9A5E-2020D8856FD4}">
    <text>7COL</text>
  </threadedComment>
  <threadedComment ref="A2540" dT="2023-10-09T14:06:52.63" personId="{47780C4E-09EC-4C51-AF30-BD34E0E039CD}" id="{B4C5604A-1774-4767-B080-1C4F11DBD6DA}">
    <text>7COL</text>
  </threadedComment>
  <threadedComment ref="A2541" dT="2023-10-09T14:07:01.44" personId="{47780C4E-09EC-4C51-AF30-BD34E0E039CD}" id="{3E2F9F98-2E36-4A51-8407-B1DBFD85FC41}">
    <text>7COL</text>
  </threadedComment>
  <threadedComment ref="A2545" dT="2023-10-09T13:58:56.91" personId="{47780C4E-09EC-4C51-AF30-BD34E0E039CD}" id="{D92939D1-5B59-491F-8764-481C7C3AB8D9}">
    <text>7COL</text>
  </threadedComment>
  <threadedComment ref="A2546" dT="2023-10-09T13:59:12.16" personId="{47780C4E-09EC-4C51-AF30-BD34E0E039CD}" id="{E5E78116-9B2F-4118-A177-C2B473248885}">
    <text>7COL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rgb="FFFF99CC"/>
    <pageSetUpPr fitToPage="1"/>
  </sheetPr>
  <dimension ref="A1:N627"/>
  <sheetViews>
    <sheetView tabSelected="1" zoomScale="90" zoomScaleNormal="9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P325" sqref="P325"/>
    </sheetView>
  </sheetViews>
  <sheetFormatPr defaultRowHeight="18" customHeight="1"/>
  <cols>
    <col min="1" max="1" width="12.5703125" customWidth="1"/>
    <col min="2" max="2" width="12.7109375" customWidth="1"/>
    <col min="4" max="4" width="38.28515625" customWidth="1"/>
    <col min="7" max="13" width="9.140625" style="354"/>
    <col min="14" max="14" width="12.42578125" customWidth="1"/>
  </cols>
  <sheetData>
    <row r="1" spans="1:14" ht="12.75">
      <c r="A1" s="775" t="s">
        <v>983</v>
      </c>
      <c r="B1" s="775"/>
      <c r="C1" s="775"/>
    </row>
    <row r="2" spans="1:14" ht="18.75">
      <c r="A2" s="670" t="s">
        <v>629</v>
      </c>
      <c r="B2" s="671" t="s">
        <v>411</v>
      </c>
      <c r="C2" s="671" t="s">
        <v>328</v>
      </c>
      <c r="D2" s="671" t="s">
        <v>407</v>
      </c>
      <c r="E2" s="671" t="s">
        <v>325</v>
      </c>
      <c r="F2" s="671" t="s">
        <v>293</v>
      </c>
      <c r="G2" s="672" t="s">
        <v>329</v>
      </c>
      <c r="H2" s="672" t="s">
        <v>330</v>
      </c>
      <c r="I2" s="672" t="s">
        <v>771</v>
      </c>
      <c r="J2" s="672" t="s">
        <v>478</v>
      </c>
      <c r="K2" s="672" t="s">
        <v>331</v>
      </c>
      <c r="L2" s="672" t="s">
        <v>332</v>
      </c>
      <c r="M2" s="672" t="s">
        <v>333</v>
      </c>
      <c r="N2" s="673" t="s">
        <v>772</v>
      </c>
    </row>
    <row r="3" spans="1:14" ht="18.75" hidden="1">
      <c r="A3" s="674" t="s">
        <v>119</v>
      </c>
      <c r="B3" s="42" t="s">
        <v>334</v>
      </c>
      <c r="C3" s="42">
        <v>101558</v>
      </c>
      <c r="D3" s="42" t="s">
        <v>335</v>
      </c>
      <c r="E3" s="675">
        <v>21</v>
      </c>
      <c r="F3" s="675">
        <v>760</v>
      </c>
      <c r="G3" s="676">
        <v>0</v>
      </c>
      <c r="H3" s="676">
        <v>0</v>
      </c>
      <c r="I3" s="676">
        <v>0</v>
      </c>
      <c r="J3" s="676">
        <v>0</v>
      </c>
      <c r="K3" s="676">
        <v>0</v>
      </c>
      <c r="L3" s="676">
        <v>72.2</v>
      </c>
      <c r="M3" s="676">
        <v>0</v>
      </c>
      <c r="N3" s="666">
        <v>72.2</v>
      </c>
    </row>
    <row r="4" spans="1:14" ht="18.75" hidden="1">
      <c r="A4" s="674" t="s">
        <v>119</v>
      </c>
      <c r="B4" s="42" t="s">
        <v>334</v>
      </c>
      <c r="C4" s="42">
        <v>101398</v>
      </c>
      <c r="D4" s="42" t="s">
        <v>426</v>
      </c>
      <c r="E4" s="675">
        <v>21</v>
      </c>
      <c r="F4" s="675">
        <v>990</v>
      </c>
      <c r="G4" s="676">
        <v>1409.28</v>
      </c>
      <c r="H4" s="676">
        <v>0</v>
      </c>
      <c r="I4" s="676">
        <v>0</v>
      </c>
      <c r="J4" s="676">
        <v>0</v>
      </c>
      <c r="K4" s="676">
        <v>0</v>
      </c>
      <c r="L4" s="676">
        <v>0</v>
      </c>
      <c r="M4" s="676">
        <v>0</v>
      </c>
      <c r="N4" s="666">
        <v>1409.28</v>
      </c>
    </row>
    <row r="5" spans="1:14" ht="18.75" hidden="1">
      <c r="A5" s="674" t="s">
        <v>119</v>
      </c>
      <c r="B5" s="42" t="s">
        <v>334</v>
      </c>
      <c r="C5" s="42">
        <v>105164</v>
      </c>
      <c r="D5" s="42" t="s">
        <v>752</v>
      </c>
      <c r="E5" s="675">
        <v>21</v>
      </c>
      <c r="F5" s="675">
        <v>1050</v>
      </c>
      <c r="G5" s="676">
        <v>212.7</v>
      </c>
      <c r="H5" s="676">
        <v>0</v>
      </c>
      <c r="I5" s="676">
        <v>1004.17</v>
      </c>
      <c r="J5" s="676">
        <v>3000</v>
      </c>
      <c r="K5" s="676">
        <v>0</v>
      </c>
      <c r="L5" s="676">
        <v>0</v>
      </c>
      <c r="M5" s="676">
        <v>0</v>
      </c>
      <c r="N5" s="666">
        <v>212.7</v>
      </c>
    </row>
    <row r="6" spans="1:14" ht="18.75" hidden="1">
      <c r="A6" s="674" t="s">
        <v>119</v>
      </c>
      <c r="B6" s="42" t="s">
        <v>334</v>
      </c>
      <c r="C6" s="42">
        <v>105182</v>
      </c>
      <c r="D6" s="42" t="s">
        <v>792</v>
      </c>
      <c r="E6" s="675">
        <v>21</v>
      </c>
      <c r="F6" s="675">
        <v>1200</v>
      </c>
      <c r="G6" s="676">
        <v>1454.94</v>
      </c>
      <c r="H6" s="676">
        <v>0</v>
      </c>
      <c r="I6" s="676">
        <v>0</v>
      </c>
      <c r="J6" s="676">
        <v>500</v>
      </c>
      <c r="K6" s="676">
        <v>0</v>
      </c>
      <c r="L6" s="676">
        <v>0</v>
      </c>
      <c r="M6" s="676">
        <v>0</v>
      </c>
      <c r="N6" s="666">
        <v>1454.94</v>
      </c>
    </row>
    <row r="7" spans="1:14" ht="18.75" hidden="1">
      <c r="A7" s="674" t="s">
        <v>119</v>
      </c>
      <c r="B7" s="42" t="s">
        <v>336</v>
      </c>
      <c r="C7" s="42">
        <v>104237</v>
      </c>
      <c r="D7" s="42" t="s">
        <v>508</v>
      </c>
      <c r="E7" s="675">
        <v>8</v>
      </c>
      <c r="F7" s="675">
        <v>785</v>
      </c>
      <c r="G7" s="676">
        <v>115</v>
      </c>
      <c r="H7" s="676">
        <v>0</v>
      </c>
      <c r="I7" s="676">
        <v>0</v>
      </c>
      <c r="J7" s="676">
        <v>0</v>
      </c>
      <c r="K7" s="676">
        <v>0</v>
      </c>
      <c r="L7" s="676">
        <v>0</v>
      </c>
      <c r="M7" s="676">
        <v>0</v>
      </c>
      <c r="N7" s="666">
        <v>115</v>
      </c>
    </row>
    <row r="8" spans="1:14" ht="18.75" hidden="1">
      <c r="A8" s="674" t="s">
        <v>119</v>
      </c>
      <c r="B8" s="42" t="s">
        <v>336</v>
      </c>
      <c r="C8" s="42">
        <v>104787</v>
      </c>
      <c r="D8" s="42" t="s">
        <v>600</v>
      </c>
      <c r="E8" s="675">
        <v>12</v>
      </c>
      <c r="F8" s="675">
        <v>949</v>
      </c>
      <c r="G8" s="676">
        <v>2650.96</v>
      </c>
      <c r="H8" s="676">
        <v>0</v>
      </c>
      <c r="I8" s="676">
        <v>3094.29</v>
      </c>
      <c r="J8" s="676">
        <v>574.46</v>
      </c>
      <c r="K8" s="676">
        <v>0</v>
      </c>
      <c r="L8" s="676">
        <v>0</v>
      </c>
      <c r="M8" s="676">
        <v>0</v>
      </c>
      <c r="N8" s="666">
        <v>2650.96</v>
      </c>
    </row>
    <row r="9" spans="1:14" ht="18.75" hidden="1">
      <c r="A9" s="674" t="s">
        <v>119</v>
      </c>
      <c r="B9" s="42" t="s">
        <v>336</v>
      </c>
      <c r="C9" s="42">
        <v>101016</v>
      </c>
      <c r="D9" s="42" t="s">
        <v>337</v>
      </c>
      <c r="E9" s="675">
        <v>12</v>
      </c>
      <c r="F9" s="675">
        <v>970</v>
      </c>
      <c r="G9" s="676">
        <v>3296.95</v>
      </c>
      <c r="H9" s="676">
        <v>0</v>
      </c>
      <c r="I9" s="676">
        <v>521.54999999999995</v>
      </c>
      <c r="J9" s="676">
        <v>33.5</v>
      </c>
      <c r="K9" s="676">
        <v>0</v>
      </c>
      <c r="L9" s="676">
        <v>0</v>
      </c>
      <c r="M9" s="676">
        <v>0</v>
      </c>
      <c r="N9" s="666">
        <v>3296.95</v>
      </c>
    </row>
    <row r="10" spans="1:14" ht="18.75" hidden="1">
      <c r="A10" s="674" t="s">
        <v>119</v>
      </c>
      <c r="B10" s="42" t="s">
        <v>336</v>
      </c>
      <c r="C10" s="42">
        <v>100197</v>
      </c>
      <c r="D10" s="42" t="s">
        <v>513</v>
      </c>
      <c r="E10" s="675">
        <v>12</v>
      </c>
      <c r="F10" s="675">
        <v>1005</v>
      </c>
      <c r="G10" s="676">
        <v>291.72000000000003</v>
      </c>
      <c r="H10" s="676">
        <v>0</v>
      </c>
      <c r="I10" s="676">
        <v>0</v>
      </c>
      <c r="J10" s="676">
        <v>0</v>
      </c>
      <c r="K10" s="676">
        <v>0</v>
      </c>
      <c r="L10" s="676">
        <v>0</v>
      </c>
      <c r="M10" s="676">
        <v>286.60000000000002</v>
      </c>
      <c r="N10" s="666">
        <v>578.32000000000005</v>
      </c>
    </row>
    <row r="11" spans="1:14" ht="18.75" hidden="1">
      <c r="A11" s="674" t="s">
        <v>119</v>
      </c>
      <c r="B11" s="42" t="s">
        <v>336</v>
      </c>
      <c r="C11" s="42">
        <v>105114</v>
      </c>
      <c r="D11" s="42" t="s">
        <v>711</v>
      </c>
      <c r="E11" s="675">
        <v>12</v>
      </c>
      <c r="F11" s="675">
        <v>1075</v>
      </c>
      <c r="G11" s="676">
        <v>1781.95</v>
      </c>
      <c r="H11" s="676">
        <v>0</v>
      </c>
      <c r="I11" s="676">
        <v>714.74</v>
      </c>
      <c r="J11" s="676">
        <v>0</v>
      </c>
      <c r="K11" s="676">
        <v>0</v>
      </c>
      <c r="L11" s="676">
        <v>0</v>
      </c>
      <c r="M11" s="676">
        <v>0</v>
      </c>
      <c r="N11" s="666">
        <v>1781.95</v>
      </c>
    </row>
    <row r="12" spans="1:14" ht="18.75" hidden="1">
      <c r="A12" s="674" t="s">
        <v>119</v>
      </c>
      <c r="B12" s="42" t="s">
        <v>336</v>
      </c>
      <c r="C12" s="42">
        <v>100199</v>
      </c>
      <c r="D12" s="42" t="s">
        <v>338</v>
      </c>
      <c r="E12" s="675">
        <v>12</v>
      </c>
      <c r="F12" s="675">
        <v>1080</v>
      </c>
      <c r="G12" s="676">
        <v>802</v>
      </c>
      <c r="H12" s="676">
        <v>0</v>
      </c>
      <c r="I12" s="676">
        <v>795.4</v>
      </c>
      <c r="J12" s="676">
        <v>0</v>
      </c>
      <c r="K12" s="676">
        <v>0</v>
      </c>
      <c r="L12" s="676">
        <v>0</v>
      </c>
      <c r="M12" s="676">
        <v>0</v>
      </c>
      <c r="N12" s="666">
        <v>802</v>
      </c>
    </row>
    <row r="13" spans="1:14" ht="18.75" hidden="1">
      <c r="A13" s="674" t="s">
        <v>119</v>
      </c>
      <c r="B13" s="42" t="s">
        <v>336</v>
      </c>
      <c r="C13" s="42">
        <v>105113</v>
      </c>
      <c r="D13" s="42" t="s">
        <v>712</v>
      </c>
      <c r="E13" s="675">
        <v>12</v>
      </c>
      <c r="F13" s="675">
        <v>1109</v>
      </c>
      <c r="G13" s="676">
        <v>3410.05</v>
      </c>
      <c r="H13" s="676">
        <v>0</v>
      </c>
      <c r="I13" s="676">
        <v>0</v>
      </c>
      <c r="J13" s="676">
        <v>620</v>
      </c>
      <c r="K13" s="676">
        <v>0</v>
      </c>
      <c r="L13" s="676">
        <v>0</v>
      </c>
      <c r="M13" s="676">
        <v>0</v>
      </c>
      <c r="N13" s="666">
        <v>3410.05</v>
      </c>
    </row>
    <row r="14" spans="1:14" ht="18.75" hidden="1">
      <c r="A14" s="674" t="s">
        <v>119</v>
      </c>
      <c r="B14" s="42" t="s">
        <v>336</v>
      </c>
      <c r="C14" s="42">
        <v>103662</v>
      </c>
      <c r="D14" s="42" t="s">
        <v>828</v>
      </c>
      <c r="E14" s="675">
        <v>12</v>
      </c>
      <c r="F14" s="675">
        <v>1125</v>
      </c>
      <c r="G14" s="676">
        <v>0</v>
      </c>
      <c r="H14" s="676">
        <v>0</v>
      </c>
      <c r="I14" s="676">
        <v>0</v>
      </c>
      <c r="J14" s="676">
        <v>1750</v>
      </c>
      <c r="K14" s="676">
        <v>0</v>
      </c>
      <c r="L14" s="676">
        <v>0</v>
      </c>
      <c r="M14" s="676">
        <v>0</v>
      </c>
      <c r="N14" s="666">
        <v>0</v>
      </c>
    </row>
    <row r="15" spans="1:14" ht="18.75" hidden="1">
      <c r="A15" s="674" t="s">
        <v>119</v>
      </c>
      <c r="B15" s="42" t="s">
        <v>336</v>
      </c>
      <c r="C15" s="42">
        <v>105137</v>
      </c>
      <c r="D15" s="42" t="s">
        <v>723</v>
      </c>
      <c r="E15" s="675">
        <v>15</v>
      </c>
      <c r="F15" s="675">
        <v>830</v>
      </c>
      <c r="G15" s="676">
        <v>0</v>
      </c>
      <c r="H15" s="676">
        <v>0</v>
      </c>
      <c r="I15" s="676">
        <v>0</v>
      </c>
      <c r="J15" s="676">
        <v>0</v>
      </c>
      <c r="K15" s="676">
        <v>243.1</v>
      </c>
      <c r="L15" s="676">
        <v>0</v>
      </c>
      <c r="M15" s="676">
        <v>0</v>
      </c>
      <c r="N15" s="666">
        <v>243.1</v>
      </c>
    </row>
    <row r="16" spans="1:14" ht="18.75" hidden="1">
      <c r="A16" s="674" t="s">
        <v>119</v>
      </c>
      <c r="B16" s="42" t="s">
        <v>336</v>
      </c>
      <c r="C16" s="42">
        <v>101006</v>
      </c>
      <c r="D16" s="42" t="s">
        <v>432</v>
      </c>
      <c r="E16" s="675">
        <v>15</v>
      </c>
      <c r="F16" s="675">
        <v>920</v>
      </c>
      <c r="G16" s="676">
        <v>883.4</v>
      </c>
      <c r="H16" s="676">
        <v>0</v>
      </c>
      <c r="I16" s="676">
        <v>3316.65</v>
      </c>
      <c r="J16" s="676">
        <v>891.35</v>
      </c>
      <c r="K16" s="676">
        <v>0</v>
      </c>
      <c r="L16" s="676">
        <v>0</v>
      </c>
      <c r="M16" s="676">
        <v>0</v>
      </c>
      <c r="N16" s="666">
        <v>883.4</v>
      </c>
    </row>
    <row r="17" spans="1:14" ht="18.75" hidden="1">
      <c r="A17" s="674" t="s">
        <v>119</v>
      </c>
      <c r="B17" s="42" t="s">
        <v>336</v>
      </c>
      <c r="C17" s="42">
        <v>104791</v>
      </c>
      <c r="D17" s="42" t="s">
        <v>615</v>
      </c>
      <c r="E17" s="675">
        <v>15</v>
      </c>
      <c r="F17" s="675">
        <v>955</v>
      </c>
      <c r="G17" s="676">
        <v>6034.8</v>
      </c>
      <c r="H17" s="676">
        <v>0</v>
      </c>
      <c r="I17" s="676">
        <v>28</v>
      </c>
      <c r="J17" s="676">
        <v>4</v>
      </c>
      <c r="K17" s="676">
        <v>0</v>
      </c>
      <c r="L17" s="676">
        <v>0</v>
      </c>
      <c r="M17" s="676">
        <v>0</v>
      </c>
      <c r="N17" s="666">
        <v>6034.8</v>
      </c>
    </row>
    <row r="18" spans="1:14" ht="18.75" hidden="1">
      <c r="A18" s="674" t="s">
        <v>119</v>
      </c>
      <c r="B18" s="42" t="s">
        <v>336</v>
      </c>
      <c r="C18" s="42">
        <v>104875</v>
      </c>
      <c r="D18" s="42" t="s">
        <v>620</v>
      </c>
      <c r="E18" s="675">
        <v>15</v>
      </c>
      <c r="F18" s="675">
        <v>989</v>
      </c>
      <c r="G18" s="676">
        <v>0</v>
      </c>
      <c r="H18" s="676">
        <v>0</v>
      </c>
      <c r="I18" s="676">
        <v>329.7</v>
      </c>
      <c r="J18" s="676">
        <v>0</v>
      </c>
      <c r="K18" s="676">
        <v>0</v>
      </c>
      <c r="L18" s="676">
        <v>0</v>
      </c>
      <c r="M18" s="676">
        <v>0</v>
      </c>
      <c r="N18" s="666">
        <v>0</v>
      </c>
    </row>
    <row r="19" spans="1:14" ht="18.75" hidden="1">
      <c r="A19" s="674" t="s">
        <v>119</v>
      </c>
      <c r="B19" s="42" t="s">
        <v>336</v>
      </c>
      <c r="C19" s="42">
        <v>104390</v>
      </c>
      <c r="D19" s="42" t="s">
        <v>518</v>
      </c>
      <c r="E19" s="675">
        <v>15</v>
      </c>
      <c r="F19" s="675">
        <v>1005</v>
      </c>
      <c r="G19" s="676">
        <v>0</v>
      </c>
      <c r="H19" s="676">
        <v>0</v>
      </c>
      <c r="I19" s="676">
        <v>561.29</v>
      </c>
      <c r="J19" s="676">
        <v>2000</v>
      </c>
      <c r="K19" s="676">
        <v>0</v>
      </c>
      <c r="L19" s="676">
        <v>0</v>
      </c>
      <c r="M19" s="676">
        <v>186</v>
      </c>
      <c r="N19" s="666">
        <v>186</v>
      </c>
    </row>
    <row r="20" spans="1:14" ht="18.75" hidden="1">
      <c r="A20" s="674" t="s">
        <v>119</v>
      </c>
      <c r="B20" s="42" t="s">
        <v>336</v>
      </c>
      <c r="C20" s="42">
        <v>105237</v>
      </c>
      <c r="D20" s="42" t="s">
        <v>923</v>
      </c>
      <c r="E20" s="675">
        <v>15</v>
      </c>
      <c r="F20" s="675">
        <v>1095</v>
      </c>
      <c r="G20" s="676">
        <v>0</v>
      </c>
      <c r="H20" s="676">
        <v>0</v>
      </c>
      <c r="I20" s="676">
        <v>0</v>
      </c>
      <c r="J20" s="676">
        <v>2200</v>
      </c>
      <c r="K20" s="676">
        <v>0</v>
      </c>
      <c r="L20" s="676">
        <v>0</v>
      </c>
      <c r="M20" s="676">
        <v>0</v>
      </c>
      <c r="N20" s="666">
        <v>0</v>
      </c>
    </row>
    <row r="21" spans="1:14" ht="18.75" hidden="1">
      <c r="A21" s="674" t="s">
        <v>119</v>
      </c>
      <c r="B21" s="42" t="s">
        <v>336</v>
      </c>
      <c r="C21" s="42">
        <v>104934</v>
      </c>
      <c r="D21" s="42" t="s">
        <v>652</v>
      </c>
      <c r="E21" s="675">
        <v>15</v>
      </c>
      <c r="F21" s="675">
        <v>1115</v>
      </c>
      <c r="G21" s="676">
        <v>0</v>
      </c>
      <c r="H21" s="676">
        <v>0</v>
      </c>
      <c r="I21" s="676">
        <v>8846.91</v>
      </c>
      <c r="J21" s="676">
        <v>1140.29</v>
      </c>
      <c r="K21" s="676">
        <v>0</v>
      </c>
      <c r="L21" s="676">
        <v>0</v>
      </c>
      <c r="M21" s="676">
        <v>0</v>
      </c>
      <c r="N21" s="666">
        <v>0</v>
      </c>
    </row>
    <row r="22" spans="1:14" ht="18.75" hidden="1">
      <c r="A22" s="674" t="s">
        <v>119</v>
      </c>
      <c r="B22" s="42" t="s">
        <v>336</v>
      </c>
      <c r="C22" s="42">
        <v>105058</v>
      </c>
      <c r="D22" s="42" t="s">
        <v>833</v>
      </c>
      <c r="E22" s="675">
        <v>15</v>
      </c>
      <c r="F22" s="675">
        <v>1201</v>
      </c>
      <c r="G22" s="676">
        <v>504.85</v>
      </c>
      <c r="H22" s="676">
        <v>0</v>
      </c>
      <c r="I22" s="676">
        <v>4110</v>
      </c>
      <c r="J22" s="676">
        <v>0</v>
      </c>
      <c r="K22" s="676">
        <v>0</v>
      </c>
      <c r="L22" s="676">
        <v>0</v>
      </c>
      <c r="M22" s="676">
        <v>0</v>
      </c>
      <c r="N22" s="666">
        <v>504.85</v>
      </c>
    </row>
    <row r="23" spans="1:14" ht="18.75" hidden="1">
      <c r="A23" s="674" t="s">
        <v>119</v>
      </c>
      <c r="B23" s="42" t="s">
        <v>336</v>
      </c>
      <c r="C23" s="42">
        <v>104634</v>
      </c>
      <c r="D23" s="42" t="s">
        <v>560</v>
      </c>
      <c r="E23" s="675">
        <v>18</v>
      </c>
      <c r="F23" s="675">
        <v>765</v>
      </c>
      <c r="G23" s="676">
        <v>416.5</v>
      </c>
      <c r="H23" s="676">
        <v>0</v>
      </c>
      <c r="I23" s="676">
        <v>0</v>
      </c>
      <c r="J23" s="676">
        <v>998.32</v>
      </c>
      <c r="K23" s="676">
        <v>774.68</v>
      </c>
      <c r="L23" s="676">
        <v>0</v>
      </c>
      <c r="M23" s="676">
        <v>0</v>
      </c>
      <c r="N23" s="666">
        <v>1191.18</v>
      </c>
    </row>
    <row r="24" spans="1:14" ht="18.75" hidden="1">
      <c r="A24" s="674" t="s">
        <v>119</v>
      </c>
      <c r="B24" s="42" t="s">
        <v>336</v>
      </c>
      <c r="C24" s="42">
        <v>102509</v>
      </c>
      <c r="D24" s="42" t="s">
        <v>409</v>
      </c>
      <c r="E24" s="675">
        <v>18</v>
      </c>
      <c r="F24" s="675">
        <v>850</v>
      </c>
      <c r="G24" s="676">
        <v>27</v>
      </c>
      <c r="H24" s="676">
        <v>0</v>
      </c>
      <c r="I24" s="676">
        <v>0</v>
      </c>
      <c r="J24" s="676">
        <v>0</v>
      </c>
      <c r="K24" s="676">
        <v>0</v>
      </c>
      <c r="L24" s="676">
        <v>0</v>
      </c>
      <c r="M24" s="676">
        <v>0</v>
      </c>
      <c r="N24" s="666">
        <v>27</v>
      </c>
    </row>
    <row r="25" spans="1:14" ht="18.75" hidden="1">
      <c r="A25" s="674" t="s">
        <v>119</v>
      </c>
      <c r="B25" s="42" t="s">
        <v>336</v>
      </c>
      <c r="C25" s="42">
        <v>104993</v>
      </c>
      <c r="D25" s="42" t="s">
        <v>669</v>
      </c>
      <c r="E25" s="675">
        <v>18</v>
      </c>
      <c r="F25" s="675">
        <v>1035</v>
      </c>
      <c r="G25" s="676">
        <v>142.6</v>
      </c>
      <c r="H25" s="676">
        <v>0</v>
      </c>
      <c r="I25" s="676">
        <v>0</v>
      </c>
      <c r="J25" s="676">
        <v>0</v>
      </c>
      <c r="K25" s="676">
        <v>0</v>
      </c>
      <c r="L25" s="676">
        <v>0</v>
      </c>
      <c r="M25" s="676">
        <v>0</v>
      </c>
      <c r="N25" s="666">
        <v>142.6</v>
      </c>
    </row>
    <row r="26" spans="1:14" ht="18.75" hidden="1">
      <c r="A26" s="674" t="s">
        <v>119</v>
      </c>
      <c r="B26" s="42" t="s">
        <v>336</v>
      </c>
      <c r="C26" s="42">
        <v>102339</v>
      </c>
      <c r="D26" s="42" t="s">
        <v>375</v>
      </c>
      <c r="E26" s="675">
        <v>18</v>
      </c>
      <c r="F26" s="675">
        <v>1068</v>
      </c>
      <c r="G26" s="676">
        <v>2309.9299999999998</v>
      </c>
      <c r="H26" s="676">
        <v>0</v>
      </c>
      <c r="I26" s="676">
        <v>3635.15</v>
      </c>
      <c r="J26" s="676">
        <v>117.42</v>
      </c>
      <c r="K26" s="676">
        <v>0</v>
      </c>
      <c r="L26" s="676">
        <v>1815.1</v>
      </c>
      <c r="M26" s="676">
        <v>0</v>
      </c>
      <c r="N26" s="666">
        <v>4125.03</v>
      </c>
    </row>
    <row r="27" spans="1:14" ht="18.75" hidden="1">
      <c r="A27" s="674" t="s">
        <v>119</v>
      </c>
      <c r="B27" s="42" t="s">
        <v>336</v>
      </c>
      <c r="C27" s="42">
        <v>104540</v>
      </c>
      <c r="D27" s="42" t="s">
        <v>551</v>
      </c>
      <c r="E27" s="675">
        <v>18</v>
      </c>
      <c r="F27" s="675">
        <v>1089</v>
      </c>
      <c r="G27" s="676">
        <v>0</v>
      </c>
      <c r="H27" s="676">
        <v>0</v>
      </c>
      <c r="I27" s="676">
        <v>629.54</v>
      </c>
      <c r="J27" s="676">
        <v>0</v>
      </c>
      <c r="K27" s="676">
        <v>0</v>
      </c>
      <c r="L27" s="676">
        <v>0</v>
      </c>
      <c r="M27" s="676">
        <v>0</v>
      </c>
      <c r="N27" s="666">
        <v>0</v>
      </c>
    </row>
    <row r="28" spans="1:14" ht="18.75" hidden="1">
      <c r="A28" s="674" t="s">
        <v>119</v>
      </c>
      <c r="B28" s="42" t="s">
        <v>336</v>
      </c>
      <c r="C28" s="42">
        <v>104935</v>
      </c>
      <c r="D28" s="42" t="s">
        <v>653</v>
      </c>
      <c r="E28" s="675">
        <v>18</v>
      </c>
      <c r="F28" s="675">
        <v>1105</v>
      </c>
      <c r="G28" s="676">
        <v>6993.11</v>
      </c>
      <c r="H28" s="676">
        <v>0</v>
      </c>
      <c r="I28" s="676">
        <v>4644.92</v>
      </c>
      <c r="J28" s="676">
        <v>129.69</v>
      </c>
      <c r="K28" s="676">
        <v>0</v>
      </c>
      <c r="L28" s="676">
        <v>0</v>
      </c>
      <c r="M28" s="676">
        <v>0</v>
      </c>
      <c r="N28" s="666">
        <v>6993.11</v>
      </c>
    </row>
    <row r="29" spans="1:14" ht="18.75" hidden="1">
      <c r="A29" s="674" t="s">
        <v>119</v>
      </c>
      <c r="B29" s="42" t="s">
        <v>336</v>
      </c>
      <c r="C29" s="42">
        <v>104890</v>
      </c>
      <c r="D29" s="42" t="s">
        <v>800</v>
      </c>
      <c r="E29" s="675">
        <v>18</v>
      </c>
      <c r="F29" s="675">
        <v>1127</v>
      </c>
      <c r="G29" s="676">
        <v>1925.8</v>
      </c>
      <c r="H29" s="676">
        <v>0</v>
      </c>
      <c r="I29" s="676">
        <v>9335.5</v>
      </c>
      <c r="J29" s="676">
        <v>150.4</v>
      </c>
      <c r="K29" s="676">
        <v>0</v>
      </c>
      <c r="L29" s="676">
        <v>0</v>
      </c>
      <c r="M29" s="676">
        <v>0</v>
      </c>
      <c r="N29" s="666">
        <v>1925.8</v>
      </c>
    </row>
    <row r="30" spans="1:14" ht="18.75" hidden="1">
      <c r="A30" s="674" t="s">
        <v>119</v>
      </c>
      <c r="B30" s="42" t="s">
        <v>336</v>
      </c>
      <c r="C30" s="42">
        <v>104755</v>
      </c>
      <c r="D30" s="42" t="s">
        <v>604</v>
      </c>
      <c r="E30" s="675">
        <v>20</v>
      </c>
      <c r="F30" s="675">
        <v>895</v>
      </c>
      <c r="G30" s="676">
        <v>1726.3</v>
      </c>
      <c r="H30" s="676">
        <v>0</v>
      </c>
      <c r="I30" s="676">
        <v>135.4</v>
      </c>
      <c r="J30" s="676">
        <v>0</v>
      </c>
      <c r="K30" s="676">
        <v>0</v>
      </c>
      <c r="L30" s="676">
        <v>0</v>
      </c>
      <c r="M30" s="676">
        <v>0</v>
      </c>
      <c r="N30" s="666">
        <v>1726.3</v>
      </c>
    </row>
    <row r="31" spans="1:14" ht="18.75" hidden="1">
      <c r="A31" s="674" t="s">
        <v>119</v>
      </c>
      <c r="B31" s="42" t="s">
        <v>336</v>
      </c>
      <c r="C31" s="42">
        <v>103408</v>
      </c>
      <c r="D31" s="42" t="s">
        <v>449</v>
      </c>
      <c r="E31" s="675">
        <v>20</v>
      </c>
      <c r="F31" s="675">
        <v>1110</v>
      </c>
      <c r="G31" s="676">
        <v>257</v>
      </c>
      <c r="H31" s="676">
        <v>0</v>
      </c>
      <c r="I31" s="676">
        <v>0</v>
      </c>
      <c r="J31" s="676">
        <v>0</v>
      </c>
      <c r="K31" s="676">
        <v>0</v>
      </c>
      <c r="L31" s="676">
        <v>0</v>
      </c>
      <c r="M31" s="676">
        <v>0</v>
      </c>
      <c r="N31" s="666">
        <v>257</v>
      </c>
    </row>
    <row r="32" spans="1:14" ht="18.75" hidden="1">
      <c r="A32" s="674" t="s">
        <v>119</v>
      </c>
      <c r="B32" s="42" t="s">
        <v>336</v>
      </c>
      <c r="C32" s="42">
        <v>105006</v>
      </c>
      <c r="D32" s="42" t="s">
        <v>670</v>
      </c>
      <c r="E32" s="675">
        <v>20</v>
      </c>
      <c r="F32" s="675">
        <v>1185</v>
      </c>
      <c r="G32" s="676">
        <v>0</v>
      </c>
      <c r="H32" s="676">
        <v>0</v>
      </c>
      <c r="I32" s="676">
        <v>0</v>
      </c>
      <c r="J32" s="676">
        <v>0</v>
      </c>
      <c r="K32" s="676">
        <v>3101.3</v>
      </c>
      <c r="L32" s="676">
        <v>0</v>
      </c>
      <c r="M32" s="676">
        <v>0</v>
      </c>
      <c r="N32" s="666">
        <v>3101.3</v>
      </c>
    </row>
    <row r="33" spans="1:14" ht="18.75" hidden="1">
      <c r="A33" s="674" t="s">
        <v>119</v>
      </c>
      <c r="B33" s="42" t="s">
        <v>336</v>
      </c>
      <c r="C33" s="42">
        <v>104958</v>
      </c>
      <c r="D33" s="42" t="s">
        <v>664</v>
      </c>
      <c r="E33" s="675">
        <v>20</v>
      </c>
      <c r="F33" s="675">
        <v>1215</v>
      </c>
      <c r="G33" s="676">
        <v>326</v>
      </c>
      <c r="H33" s="676">
        <v>0</v>
      </c>
      <c r="I33" s="676">
        <v>0</v>
      </c>
      <c r="J33" s="676">
        <v>0</v>
      </c>
      <c r="K33" s="676">
        <v>0</v>
      </c>
      <c r="L33" s="676">
        <v>0</v>
      </c>
      <c r="M33" s="676">
        <v>0</v>
      </c>
      <c r="N33" s="666">
        <v>326</v>
      </c>
    </row>
    <row r="34" spans="1:14" ht="18.75" hidden="1">
      <c r="A34" s="674" t="s">
        <v>119</v>
      </c>
      <c r="B34" s="42" t="s">
        <v>336</v>
      </c>
      <c r="C34" s="42">
        <v>104957</v>
      </c>
      <c r="D34" s="42" t="s">
        <v>665</v>
      </c>
      <c r="E34" s="675">
        <v>25</v>
      </c>
      <c r="F34" s="675">
        <v>1145</v>
      </c>
      <c r="G34" s="676">
        <v>592.70000000000005</v>
      </c>
      <c r="H34" s="676">
        <v>0</v>
      </c>
      <c r="I34" s="676">
        <v>0</v>
      </c>
      <c r="J34" s="676">
        <v>0</v>
      </c>
      <c r="K34" s="676">
        <v>0</v>
      </c>
      <c r="L34" s="676">
        <v>0</v>
      </c>
      <c r="M34" s="676">
        <v>0</v>
      </c>
      <c r="N34" s="666">
        <v>592.70000000000005</v>
      </c>
    </row>
    <row r="35" spans="1:14" ht="18.75" hidden="1">
      <c r="A35" s="674" t="s">
        <v>119</v>
      </c>
      <c r="B35" s="42" t="s">
        <v>336</v>
      </c>
      <c r="C35" s="42">
        <v>104774</v>
      </c>
      <c r="D35" s="42" t="s">
        <v>627</v>
      </c>
      <c r="E35" s="675">
        <v>30</v>
      </c>
      <c r="F35" s="675">
        <v>170</v>
      </c>
      <c r="G35" s="676">
        <v>120</v>
      </c>
      <c r="H35" s="676">
        <v>0</v>
      </c>
      <c r="I35" s="676">
        <v>0</v>
      </c>
      <c r="J35" s="676">
        <v>0</v>
      </c>
      <c r="K35" s="676">
        <v>0</v>
      </c>
      <c r="L35" s="676">
        <v>0</v>
      </c>
      <c r="M35" s="676">
        <v>0</v>
      </c>
      <c r="N35" s="666">
        <v>120</v>
      </c>
    </row>
    <row r="36" spans="1:14" ht="18.75" hidden="1">
      <c r="A36" s="674" t="s">
        <v>119</v>
      </c>
      <c r="B36" s="42" t="s">
        <v>339</v>
      </c>
      <c r="C36" s="42">
        <v>103625</v>
      </c>
      <c r="D36" s="42" t="s">
        <v>561</v>
      </c>
      <c r="E36" s="675">
        <v>18</v>
      </c>
      <c r="F36" s="675">
        <v>565</v>
      </c>
      <c r="G36" s="676">
        <v>71.599999999999994</v>
      </c>
      <c r="H36" s="676">
        <v>0</v>
      </c>
      <c r="I36" s="676">
        <v>144.19999999999999</v>
      </c>
      <c r="J36" s="676">
        <v>0</v>
      </c>
      <c r="K36" s="676">
        <v>0</v>
      </c>
      <c r="L36" s="676">
        <v>0</v>
      </c>
      <c r="M36" s="676">
        <v>0</v>
      </c>
      <c r="N36" s="666">
        <v>71.599999999999994</v>
      </c>
    </row>
    <row r="37" spans="1:14" ht="18.75" hidden="1">
      <c r="A37" s="674" t="s">
        <v>119</v>
      </c>
      <c r="B37" s="42" t="s">
        <v>339</v>
      </c>
      <c r="C37" s="42">
        <v>101025</v>
      </c>
      <c r="D37" s="42" t="s">
        <v>588</v>
      </c>
      <c r="E37" s="675">
        <v>18</v>
      </c>
      <c r="F37" s="675">
        <v>650</v>
      </c>
      <c r="G37" s="676">
        <v>92.8</v>
      </c>
      <c r="H37" s="676">
        <v>0</v>
      </c>
      <c r="I37" s="676">
        <v>74.599999999999994</v>
      </c>
      <c r="J37" s="676">
        <v>0</v>
      </c>
      <c r="K37" s="676">
        <v>0</v>
      </c>
      <c r="L37" s="676">
        <v>0</v>
      </c>
      <c r="M37" s="676">
        <v>0</v>
      </c>
      <c r="N37" s="666">
        <v>92.8</v>
      </c>
    </row>
    <row r="38" spans="1:14" ht="18.75" hidden="1">
      <c r="A38" s="674" t="s">
        <v>119</v>
      </c>
      <c r="B38" s="42" t="s">
        <v>339</v>
      </c>
      <c r="C38" s="42">
        <v>103273</v>
      </c>
      <c r="D38" s="42" t="s">
        <v>677</v>
      </c>
      <c r="E38" s="675">
        <v>18</v>
      </c>
      <c r="F38" s="675">
        <v>735</v>
      </c>
      <c r="G38" s="676">
        <v>0</v>
      </c>
      <c r="H38" s="676">
        <v>0</v>
      </c>
      <c r="I38" s="676">
        <v>10</v>
      </c>
      <c r="J38" s="676">
        <v>0</v>
      </c>
      <c r="K38" s="676">
        <v>0</v>
      </c>
      <c r="L38" s="676">
        <v>0</v>
      </c>
      <c r="M38" s="676">
        <v>0</v>
      </c>
      <c r="N38" s="666">
        <v>0</v>
      </c>
    </row>
    <row r="39" spans="1:14" ht="18.75" hidden="1">
      <c r="A39" s="674" t="s">
        <v>119</v>
      </c>
      <c r="B39" s="42" t="s">
        <v>339</v>
      </c>
      <c r="C39" s="42">
        <v>101989</v>
      </c>
      <c r="D39" s="42" t="s">
        <v>446</v>
      </c>
      <c r="E39" s="675">
        <v>18</v>
      </c>
      <c r="F39" s="675">
        <v>790</v>
      </c>
      <c r="G39" s="676">
        <v>509.6</v>
      </c>
      <c r="H39" s="676">
        <v>0</v>
      </c>
      <c r="I39" s="676">
        <v>0</v>
      </c>
      <c r="J39" s="676">
        <v>0</v>
      </c>
      <c r="K39" s="676">
        <v>0</v>
      </c>
      <c r="L39" s="676">
        <v>0</v>
      </c>
      <c r="M39" s="676">
        <v>0</v>
      </c>
      <c r="N39" s="666">
        <v>509.6</v>
      </c>
    </row>
    <row r="40" spans="1:14" ht="18.75" hidden="1">
      <c r="A40" s="674" t="s">
        <v>119</v>
      </c>
      <c r="B40" s="42" t="s">
        <v>339</v>
      </c>
      <c r="C40" s="42">
        <v>102559</v>
      </c>
      <c r="D40" s="42" t="s">
        <v>904</v>
      </c>
      <c r="E40" s="675">
        <v>18</v>
      </c>
      <c r="F40" s="675">
        <v>810</v>
      </c>
      <c r="G40" s="676">
        <v>0</v>
      </c>
      <c r="H40" s="676">
        <v>0</v>
      </c>
      <c r="I40" s="676">
        <v>0</v>
      </c>
      <c r="J40" s="676">
        <v>0</v>
      </c>
      <c r="K40" s="676">
        <v>264.39999999999998</v>
      </c>
      <c r="L40" s="676">
        <v>0</v>
      </c>
      <c r="M40" s="676">
        <v>0</v>
      </c>
      <c r="N40" s="666">
        <v>264.39999999999998</v>
      </c>
    </row>
    <row r="41" spans="1:14" ht="18.75" hidden="1">
      <c r="A41" s="674" t="s">
        <v>119</v>
      </c>
      <c r="B41" s="42" t="s">
        <v>339</v>
      </c>
      <c r="C41" s="42">
        <v>102939</v>
      </c>
      <c r="D41" s="42" t="s">
        <v>692</v>
      </c>
      <c r="E41" s="675">
        <v>18</v>
      </c>
      <c r="F41" s="675">
        <v>870</v>
      </c>
      <c r="G41" s="676">
        <v>0</v>
      </c>
      <c r="H41" s="676">
        <v>0</v>
      </c>
      <c r="I41" s="676">
        <v>0</v>
      </c>
      <c r="J41" s="676">
        <v>0</v>
      </c>
      <c r="K41" s="676">
        <v>0</v>
      </c>
      <c r="L41" s="676">
        <v>0</v>
      </c>
      <c r="M41" s="676">
        <v>28.4</v>
      </c>
      <c r="N41" s="666">
        <v>28.4</v>
      </c>
    </row>
    <row r="42" spans="1:14" ht="18.75" hidden="1">
      <c r="A42" s="674" t="s">
        <v>119</v>
      </c>
      <c r="B42" s="42" t="s">
        <v>339</v>
      </c>
      <c r="C42" s="42">
        <v>101785</v>
      </c>
      <c r="D42" s="42" t="s">
        <v>793</v>
      </c>
      <c r="E42" s="675">
        <v>18</v>
      </c>
      <c r="F42" s="675">
        <v>910</v>
      </c>
      <c r="G42" s="676">
        <v>0</v>
      </c>
      <c r="H42" s="676">
        <v>0</v>
      </c>
      <c r="I42" s="676">
        <v>0</v>
      </c>
      <c r="J42" s="676">
        <v>0</v>
      </c>
      <c r="K42" s="676">
        <v>0</v>
      </c>
      <c r="L42" s="676">
        <v>295.10000000000002</v>
      </c>
      <c r="M42" s="676">
        <v>0</v>
      </c>
      <c r="N42" s="666">
        <v>295.10000000000002</v>
      </c>
    </row>
    <row r="43" spans="1:14" ht="18.75" hidden="1">
      <c r="A43" s="674" t="s">
        <v>119</v>
      </c>
      <c r="B43" s="42" t="s">
        <v>339</v>
      </c>
      <c r="C43" s="42">
        <v>101286</v>
      </c>
      <c r="D43" s="42" t="s">
        <v>492</v>
      </c>
      <c r="E43" s="675">
        <v>18</v>
      </c>
      <c r="F43" s="675">
        <v>990</v>
      </c>
      <c r="G43" s="676">
        <v>286.10000000000002</v>
      </c>
      <c r="H43" s="676">
        <v>0</v>
      </c>
      <c r="I43" s="676">
        <v>857.7</v>
      </c>
      <c r="J43" s="676">
        <v>0</v>
      </c>
      <c r="K43" s="676">
        <v>0</v>
      </c>
      <c r="L43" s="676">
        <v>43</v>
      </c>
      <c r="M43" s="676">
        <v>0</v>
      </c>
      <c r="N43" s="666">
        <v>329.1</v>
      </c>
    </row>
    <row r="44" spans="1:14" ht="18.75" hidden="1">
      <c r="A44" s="674" t="s">
        <v>119</v>
      </c>
      <c r="B44" s="42" t="s">
        <v>340</v>
      </c>
      <c r="C44" s="42">
        <v>104756</v>
      </c>
      <c r="D44" s="42" t="s">
        <v>605</v>
      </c>
      <c r="E44" s="675">
        <v>15</v>
      </c>
      <c r="F44" s="675">
        <v>885</v>
      </c>
      <c r="G44" s="676">
        <v>1526.9</v>
      </c>
      <c r="H44" s="676">
        <v>0</v>
      </c>
      <c r="I44" s="676">
        <v>33.6</v>
      </c>
      <c r="J44" s="676">
        <v>0</v>
      </c>
      <c r="K44" s="676">
        <v>0</v>
      </c>
      <c r="L44" s="676">
        <v>0</v>
      </c>
      <c r="M44" s="676">
        <v>25.4</v>
      </c>
      <c r="N44" s="666">
        <v>1552.3</v>
      </c>
    </row>
    <row r="45" spans="1:14" ht="18.75">
      <c r="A45" s="674" t="s">
        <v>119</v>
      </c>
      <c r="B45" s="42" t="s">
        <v>340</v>
      </c>
      <c r="C45" s="42">
        <v>105007</v>
      </c>
      <c r="D45" s="42" t="s">
        <v>671</v>
      </c>
      <c r="E45" s="675">
        <v>15</v>
      </c>
      <c r="F45" s="675">
        <v>1175</v>
      </c>
      <c r="G45" s="676">
        <v>0</v>
      </c>
      <c r="H45" s="676">
        <v>0</v>
      </c>
      <c r="I45" s="676">
        <v>0</v>
      </c>
      <c r="J45" s="676">
        <v>0</v>
      </c>
      <c r="K45" s="676">
        <v>2006.6</v>
      </c>
      <c r="L45" s="676">
        <v>0</v>
      </c>
      <c r="M45" s="676">
        <v>0</v>
      </c>
      <c r="N45" s="666">
        <v>2006.6</v>
      </c>
    </row>
    <row r="46" spans="1:14" ht="18.75" hidden="1">
      <c r="A46" s="674" t="s">
        <v>119</v>
      </c>
      <c r="B46" s="42" t="s">
        <v>340</v>
      </c>
      <c r="C46" s="42">
        <v>101466</v>
      </c>
      <c r="D46" s="42" t="s">
        <v>704</v>
      </c>
      <c r="E46" s="675">
        <v>18</v>
      </c>
      <c r="F46" s="675">
        <v>675</v>
      </c>
      <c r="G46" s="676">
        <v>120</v>
      </c>
      <c r="H46" s="676">
        <v>0</v>
      </c>
      <c r="I46" s="676">
        <v>0</v>
      </c>
      <c r="J46" s="676">
        <v>0</v>
      </c>
      <c r="K46" s="676">
        <v>0</v>
      </c>
      <c r="L46" s="676">
        <v>0</v>
      </c>
      <c r="M46" s="676">
        <v>0</v>
      </c>
      <c r="N46" s="666">
        <v>120</v>
      </c>
    </row>
    <row r="47" spans="1:14" ht="18.75" hidden="1">
      <c r="A47" s="674" t="s">
        <v>119</v>
      </c>
      <c r="B47" s="42" t="s">
        <v>340</v>
      </c>
      <c r="C47" s="42">
        <v>102341</v>
      </c>
      <c r="D47" s="42" t="s">
        <v>924</v>
      </c>
      <c r="E47" s="675">
        <v>18</v>
      </c>
      <c r="F47" s="675">
        <v>907</v>
      </c>
      <c r="G47" s="676">
        <v>0</v>
      </c>
      <c r="H47" s="676">
        <v>0</v>
      </c>
      <c r="I47" s="676">
        <v>0</v>
      </c>
      <c r="J47" s="676">
        <v>500</v>
      </c>
      <c r="K47" s="676">
        <v>0</v>
      </c>
      <c r="L47" s="676">
        <v>0</v>
      </c>
      <c r="M47" s="676">
        <v>0</v>
      </c>
      <c r="N47" s="666">
        <v>0</v>
      </c>
    </row>
    <row r="48" spans="1:14" ht="18.75" hidden="1">
      <c r="A48" s="674" t="s">
        <v>119</v>
      </c>
      <c r="B48" s="42" t="s">
        <v>340</v>
      </c>
      <c r="C48" s="42">
        <v>102257</v>
      </c>
      <c r="D48" s="42" t="s">
        <v>834</v>
      </c>
      <c r="E48" s="675">
        <v>18</v>
      </c>
      <c r="F48" s="675">
        <v>920</v>
      </c>
      <c r="G48" s="676">
        <v>718.26900000000001</v>
      </c>
      <c r="H48" s="676">
        <v>0</v>
      </c>
      <c r="I48" s="676">
        <v>4342.3990000000003</v>
      </c>
      <c r="J48" s="676">
        <v>280.89999999999998</v>
      </c>
      <c r="K48" s="676">
        <v>0</v>
      </c>
      <c r="L48" s="676">
        <v>0</v>
      </c>
      <c r="M48" s="676">
        <v>0</v>
      </c>
      <c r="N48" s="666">
        <v>718.27</v>
      </c>
    </row>
    <row r="49" spans="1:14" ht="18.75" hidden="1">
      <c r="A49" s="674" t="s">
        <v>119</v>
      </c>
      <c r="B49" s="42" t="s">
        <v>340</v>
      </c>
      <c r="C49" s="42">
        <v>103013</v>
      </c>
      <c r="D49" s="42" t="s">
        <v>474</v>
      </c>
      <c r="E49" s="675">
        <v>18</v>
      </c>
      <c r="F49" s="675">
        <v>935</v>
      </c>
      <c r="G49" s="676">
        <v>71</v>
      </c>
      <c r="H49" s="676">
        <v>0</v>
      </c>
      <c r="I49" s="676">
        <v>0</v>
      </c>
      <c r="J49" s="676">
        <v>0</v>
      </c>
      <c r="K49" s="676">
        <v>0</v>
      </c>
      <c r="L49" s="676">
        <v>0</v>
      </c>
      <c r="M49" s="676">
        <v>0</v>
      </c>
      <c r="N49" s="666">
        <v>71</v>
      </c>
    </row>
    <row r="50" spans="1:14" ht="18.75" hidden="1">
      <c r="A50" s="674" t="s">
        <v>119</v>
      </c>
      <c r="B50" s="42" t="s">
        <v>340</v>
      </c>
      <c r="C50" s="42">
        <v>104788</v>
      </c>
      <c r="D50" s="42" t="s">
        <v>601</v>
      </c>
      <c r="E50" s="675">
        <v>18</v>
      </c>
      <c r="F50" s="675">
        <v>939</v>
      </c>
      <c r="G50" s="676">
        <v>4053.03</v>
      </c>
      <c r="H50" s="676">
        <v>0</v>
      </c>
      <c r="I50" s="676">
        <v>4291.92</v>
      </c>
      <c r="J50" s="676">
        <v>44.45</v>
      </c>
      <c r="K50" s="676">
        <v>0</v>
      </c>
      <c r="L50" s="676">
        <v>402.2</v>
      </c>
      <c r="M50" s="676">
        <v>0</v>
      </c>
      <c r="N50" s="666">
        <v>4455.2299999999996</v>
      </c>
    </row>
    <row r="51" spans="1:14" ht="18.75" hidden="1">
      <c r="A51" s="674" t="s">
        <v>119</v>
      </c>
      <c r="B51" s="42" t="s">
        <v>340</v>
      </c>
      <c r="C51" s="42">
        <v>104794</v>
      </c>
      <c r="D51" s="42" t="s">
        <v>602</v>
      </c>
      <c r="E51" s="675">
        <v>18</v>
      </c>
      <c r="F51" s="675">
        <v>945</v>
      </c>
      <c r="G51" s="676">
        <v>6126.4970000000003</v>
      </c>
      <c r="H51" s="676">
        <v>0</v>
      </c>
      <c r="I51" s="676">
        <v>0</v>
      </c>
      <c r="J51" s="676">
        <v>767.74</v>
      </c>
      <c r="K51" s="676">
        <v>0</v>
      </c>
      <c r="L51" s="676">
        <v>0</v>
      </c>
      <c r="M51" s="676">
        <v>0</v>
      </c>
      <c r="N51" s="666">
        <v>6126.5</v>
      </c>
    </row>
    <row r="52" spans="1:14" ht="18.75" hidden="1">
      <c r="A52" s="674" t="s">
        <v>119</v>
      </c>
      <c r="B52" s="42" t="s">
        <v>340</v>
      </c>
      <c r="C52" s="42">
        <v>101003</v>
      </c>
      <c r="D52" s="42" t="s">
        <v>341</v>
      </c>
      <c r="E52" s="675">
        <v>18</v>
      </c>
      <c r="F52" s="675">
        <v>960</v>
      </c>
      <c r="G52" s="676">
        <v>2631.047</v>
      </c>
      <c r="H52" s="676">
        <v>0</v>
      </c>
      <c r="I52" s="676">
        <v>745.82</v>
      </c>
      <c r="J52" s="676">
        <v>84.38</v>
      </c>
      <c r="K52" s="676">
        <v>0</v>
      </c>
      <c r="L52" s="676">
        <v>61.8</v>
      </c>
      <c r="M52" s="676">
        <v>77</v>
      </c>
      <c r="N52" s="666">
        <v>2769.85</v>
      </c>
    </row>
    <row r="53" spans="1:14" ht="18.75" hidden="1">
      <c r="A53" s="674" t="s">
        <v>119</v>
      </c>
      <c r="B53" s="42" t="s">
        <v>340</v>
      </c>
      <c r="C53" s="42">
        <v>101018</v>
      </c>
      <c r="D53" s="42" t="s">
        <v>730</v>
      </c>
      <c r="E53" s="675">
        <v>18</v>
      </c>
      <c r="F53" s="675">
        <v>995</v>
      </c>
      <c r="G53" s="676">
        <v>309.2</v>
      </c>
      <c r="H53" s="676">
        <v>0</v>
      </c>
      <c r="I53" s="676">
        <v>661.4</v>
      </c>
      <c r="J53" s="676">
        <v>2000</v>
      </c>
      <c r="K53" s="676">
        <v>0</v>
      </c>
      <c r="L53" s="676">
        <v>0</v>
      </c>
      <c r="M53" s="676">
        <v>0</v>
      </c>
      <c r="N53" s="666">
        <v>309.2</v>
      </c>
    </row>
    <row r="54" spans="1:14" ht="18.75" hidden="1">
      <c r="A54" s="674" t="s">
        <v>119</v>
      </c>
      <c r="B54" s="42" t="s">
        <v>340</v>
      </c>
      <c r="C54" s="42">
        <v>103222</v>
      </c>
      <c r="D54" s="42" t="s">
        <v>443</v>
      </c>
      <c r="E54" s="675">
        <v>18</v>
      </c>
      <c r="F54" s="675">
        <v>1005</v>
      </c>
      <c r="G54" s="676">
        <v>122</v>
      </c>
      <c r="H54" s="676">
        <v>0</v>
      </c>
      <c r="I54" s="676">
        <v>0</v>
      </c>
      <c r="J54" s="676">
        <v>0</v>
      </c>
      <c r="K54" s="676">
        <v>0</v>
      </c>
      <c r="L54" s="676">
        <v>0</v>
      </c>
      <c r="M54" s="676">
        <v>0</v>
      </c>
      <c r="N54" s="666">
        <v>122</v>
      </c>
    </row>
    <row r="55" spans="1:14" ht="18.75" hidden="1">
      <c r="A55" s="674" t="s">
        <v>119</v>
      </c>
      <c r="B55" s="42" t="s">
        <v>340</v>
      </c>
      <c r="C55" s="42">
        <v>101082</v>
      </c>
      <c r="D55" s="42" t="s">
        <v>925</v>
      </c>
      <c r="E55" s="675">
        <v>18</v>
      </c>
      <c r="F55" s="675">
        <v>1095</v>
      </c>
      <c r="G55" s="676">
        <v>0</v>
      </c>
      <c r="H55" s="676">
        <v>0</v>
      </c>
      <c r="I55" s="676">
        <v>0</v>
      </c>
      <c r="J55" s="676">
        <v>3500</v>
      </c>
      <c r="K55" s="676">
        <v>0</v>
      </c>
      <c r="L55" s="676">
        <v>0</v>
      </c>
      <c r="M55" s="676">
        <v>0</v>
      </c>
      <c r="N55" s="666">
        <v>0</v>
      </c>
    </row>
    <row r="56" spans="1:14" ht="18.75" hidden="1">
      <c r="A56" s="674" t="s">
        <v>119</v>
      </c>
      <c r="B56" s="42" t="s">
        <v>340</v>
      </c>
      <c r="C56" s="42">
        <v>101083</v>
      </c>
      <c r="D56" s="42" t="s">
        <v>658</v>
      </c>
      <c r="E56" s="675">
        <v>18</v>
      </c>
      <c r="F56" s="675">
        <v>1105</v>
      </c>
      <c r="G56" s="676">
        <v>5005.7</v>
      </c>
      <c r="H56" s="676">
        <v>0</v>
      </c>
      <c r="I56" s="676">
        <v>14689.277</v>
      </c>
      <c r="J56" s="676">
        <v>1069.6300000000001</v>
      </c>
      <c r="K56" s="676">
        <v>0</v>
      </c>
      <c r="L56" s="676">
        <v>863.13</v>
      </c>
      <c r="M56" s="676">
        <v>0</v>
      </c>
      <c r="N56" s="666">
        <v>5868.83</v>
      </c>
    </row>
    <row r="57" spans="1:14" ht="18.75" hidden="1">
      <c r="A57" s="674" t="s">
        <v>119</v>
      </c>
      <c r="B57" s="42" t="s">
        <v>340</v>
      </c>
      <c r="C57" s="42">
        <v>104936</v>
      </c>
      <c r="D57" s="42" t="s">
        <v>654</v>
      </c>
      <c r="E57" s="675">
        <v>18</v>
      </c>
      <c r="F57" s="675">
        <v>1114</v>
      </c>
      <c r="G57" s="676">
        <v>962</v>
      </c>
      <c r="H57" s="676">
        <v>0</v>
      </c>
      <c r="I57" s="676">
        <v>0</v>
      </c>
      <c r="J57" s="676">
        <v>1000</v>
      </c>
      <c r="K57" s="676">
        <v>0</v>
      </c>
      <c r="L57" s="676">
        <v>0</v>
      </c>
      <c r="M57" s="676">
        <v>0</v>
      </c>
      <c r="N57" s="666">
        <v>962</v>
      </c>
    </row>
    <row r="58" spans="1:14" ht="18.75" hidden="1">
      <c r="A58" s="674" t="s">
        <v>119</v>
      </c>
      <c r="B58" s="42" t="s">
        <v>340</v>
      </c>
      <c r="C58" s="42">
        <v>105059</v>
      </c>
      <c r="D58" s="42" t="s">
        <v>687</v>
      </c>
      <c r="E58" s="675">
        <v>18</v>
      </c>
      <c r="F58" s="675">
        <v>1191</v>
      </c>
      <c r="G58" s="676">
        <v>0</v>
      </c>
      <c r="H58" s="676">
        <v>0</v>
      </c>
      <c r="I58" s="676">
        <v>4810.82</v>
      </c>
      <c r="J58" s="676">
        <v>110.18</v>
      </c>
      <c r="K58" s="676">
        <v>0</v>
      </c>
      <c r="L58" s="676">
        <v>0</v>
      </c>
      <c r="M58" s="676">
        <v>79</v>
      </c>
      <c r="N58" s="666">
        <v>79</v>
      </c>
    </row>
    <row r="59" spans="1:14" ht="18.75" hidden="1">
      <c r="A59" s="674" t="s">
        <v>119</v>
      </c>
      <c r="B59" s="42" t="s">
        <v>340</v>
      </c>
      <c r="C59" s="42">
        <v>104454</v>
      </c>
      <c r="D59" s="42" t="s">
        <v>682</v>
      </c>
      <c r="E59" s="675">
        <v>25</v>
      </c>
      <c r="F59" s="675">
        <v>1005</v>
      </c>
      <c r="G59" s="676">
        <v>176</v>
      </c>
      <c r="H59" s="676">
        <v>0</v>
      </c>
      <c r="I59" s="676">
        <v>0</v>
      </c>
      <c r="J59" s="676">
        <v>0</v>
      </c>
      <c r="K59" s="676">
        <v>0</v>
      </c>
      <c r="L59" s="676">
        <v>0</v>
      </c>
      <c r="M59" s="676">
        <v>0</v>
      </c>
      <c r="N59" s="666">
        <v>176</v>
      </c>
    </row>
    <row r="60" spans="1:14" ht="18.75" hidden="1">
      <c r="A60" s="674" t="s">
        <v>119</v>
      </c>
      <c r="B60" s="42" t="s">
        <v>342</v>
      </c>
      <c r="C60" s="42">
        <v>104389</v>
      </c>
      <c r="D60" s="42" t="s">
        <v>516</v>
      </c>
      <c r="E60" s="675">
        <v>25</v>
      </c>
      <c r="F60" s="675">
        <v>796</v>
      </c>
      <c r="G60" s="676">
        <v>0</v>
      </c>
      <c r="H60" s="676">
        <v>62.99</v>
      </c>
      <c r="I60" s="676">
        <v>0</v>
      </c>
      <c r="J60" s="676">
        <v>0</v>
      </c>
      <c r="K60" s="676">
        <v>0</v>
      </c>
      <c r="L60" s="676">
        <v>0</v>
      </c>
      <c r="M60" s="676">
        <v>0</v>
      </c>
      <c r="N60" s="666">
        <v>62.99</v>
      </c>
    </row>
    <row r="61" spans="1:14" ht="18.75" hidden="1">
      <c r="A61" s="674" t="s">
        <v>119</v>
      </c>
      <c r="B61" s="42" t="s">
        <v>342</v>
      </c>
      <c r="C61" s="42">
        <v>103613</v>
      </c>
      <c r="D61" s="42" t="s">
        <v>820</v>
      </c>
      <c r="E61" s="675">
        <v>38</v>
      </c>
      <c r="F61" s="675">
        <v>600</v>
      </c>
      <c r="G61" s="676">
        <v>340.54</v>
      </c>
      <c r="H61" s="676">
        <v>0</v>
      </c>
      <c r="I61" s="676">
        <v>225.66</v>
      </c>
      <c r="J61" s="676">
        <v>0</v>
      </c>
      <c r="K61" s="676">
        <v>0</v>
      </c>
      <c r="L61" s="676">
        <v>0</v>
      </c>
      <c r="M61" s="676">
        <v>0</v>
      </c>
      <c r="N61" s="666">
        <v>340.54</v>
      </c>
    </row>
    <row r="62" spans="1:14" ht="18.75" hidden="1">
      <c r="A62" s="674" t="s">
        <v>119</v>
      </c>
      <c r="B62" s="42" t="s">
        <v>342</v>
      </c>
      <c r="C62" s="42">
        <v>103612</v>
      </c>
      <c r="D62" s="42" t="s">
        <v>710</v>
      </c>
      <c r="E62" s="675">
        <v>38</v>
      </c>
      <c r="F62" s="675">
        <v>631</v>
      </c>
      <c r="G62" s="676">
        <v>338.46</v>
      </c>
      <c r="H62" s="676">
        <v>0</v>
      </c>
      <c r="I62" s="676">
        <v>164.73</v>
      </c>
      <c r="J62" s="676">
        <v>0</v>
      </c>
      <c r="K62" s="676">
        <v>0</v>
      </c>
      <c r="L62" s="676">
        <v>0</v>
      </c>
      <c r="M62" s="676">
        <v>0</v>
      </c>
      <c r="N62" s="666">
        <v>338.46</v>
      </c>
    </row>
    <row r="63" spans="1:14" ht="18.75" hidden="1">
      <c r="A63" s="674" t="s">
        <v>119</v>
      </c>
      <c r="B63" s="42" t="s">
        <v>342</v>
      </c>
      <c r="C63" s="42">
        <v>103587</v>
      </c>
      <c r="D63" s="42" t="s">
        <v>882</v>
      </c>
      <c r="E63" s="675">
        <v>38</v>
      </c>
      <c r="F63" s="675">
        <v>675</v>
      </c>
      <c r="G63" s="676">
        <v>436.35</v>
      </c>
      <c r="H63" s="676">
        <v>0</v>
      </c>
      <c r="I63" s="676">
        <v>0</v>
      </c>
      <c r="J63" s="676">
        <v>63.65</v>
      </c>
      <c r="K63" s="676">
        <v>0</v>
      </c>
      <c r="L63" s="676">
        <v>0</v>
      </c>
      <c r="M63" s="676">
        <v>0</v>
      </c>
      <c r="N63" s="666">
        <v>436.35</v>
      </c>
    </row>
    <row r="64" spans="1:14" ht="18.75" hidden="1">
      <c r="A64" s="674" t="s">
        <v>119</v>
      </c>
      <c r="B64" s="42" t="s">
        <v>536</v>
      </c>
      <c r="C64" s="42">
        <v>105004</v>
      </c>
      <c r="D64" s="42" t="s">
        <v>672</v>
      </c>
      <c r="E64" s="675">
        <v>12</v>
      </c>
      <c r="F64" s="675">
        <v>1086</v>
      </c>
      <c r="G64" s="676">
        <v>1231.3</v>
      </c>
      <c r="H64" s="676">
        <v>0</v>
      </c>
      <c r="I64" s="676">
        <v>0</v>
      </c>
      <c r="J64" s="676">
        <v>0</v>
      </c>
      <c r="K64" s="676">
        <v>0</v>
      </c>
      <c r="L64" s="676">
        <v>0</v>
      </c>
      <c r="M64" s="676">
        <v>1236.0999999999999</v>
      </c>
      <c r="N64" s="666">
        <v>2467.4</v>
      </c>
    </row>
    <row r="65" spans="1:14" ht="18.75" hidden="1">
      <c r="A65" s="674" t="s">
        <v>119</v>
      </c>
      <c r="B65" s="42" t="s">
        <v>536</v>
      </c>
      <c r="C65" s="42">
        <v>104550</v>
      </c>
      <c r="D65" s="42" t="s">
        <v>559</v>
      </c>
      <c r="E65" s="675">
        <v>18</v>
      </c>
      <c r="F65" s="675">
        <v>907</v>
      </c>
      <c r="G65" s="676">
        <v>160</v>
      </c>
      <c r="H65" s="676">
        <v>0</v>
      </c>
      <c r="I65" s="676">
        <v>0</v>
      </c>
      <c r="J65" s="676">
        <v>500</v>
      </c>
      <c r="K65" s="676">
        <v>0</v>
      </c>
      <c r="L65" s="676">
        <v>0</v>
      </c>
      <c r="M65" s="676">
        <v>0</v>
      </c>
      <c r="N65" s="666">
        <v>160</v>
      </c>
    </row>
    <row r="66" spans="1:14" ht="18.75" hidden="1">
      <c r="A66" s="674" t="s">
        <v>119</v>
      </c>
      <c r="B66" s="42" t="s">
        <v>536</v>
      </c>
      <c r="C66" s="42">
        <v>104524</v>
      </c>
      <c r="D66" s="42" t="s">
        <v>568</v>
      </c>
      <c r="E66" s="675">
        <v>30</v>
      </c>
      <c r="F66" s="675">
        <v>198</v>
      </c>
      <c r="G66" s="676">
        <v>9</v>
      </c>
      <c r="H66" s="676">
        <v>0</v>
      </c>
      <c r="I66" s="676">
        <v>0</v>
      </c>
      <c r="J66" s="676">
        <v>0</v>
      </c>
      <c r="K66" s="676">
        <v>0</v>
      </c>
      <c r="L66" s="676">
        <v>0</v>
      </c>
      <c r="M66" s="676">
        <v>0</v>
      </c>
      <c r="N66" s="666">
        <v>9</v>
      </c>
    </row>
    <row r="67" spans="1:14" ht="18.75" hidden="1">
      <c r="A67" s="674" t="s">
        <v>630</v>
      </c>
      <c r="B67" s="42" t="s">
        <v>343</v>
      </c>
      <c r="C67" s="42">
        <v>101658</v>
      </c>
      <c r="D67" s="42" t="s">
        <v>467</v>
      </c>
      <c r="E67" s="675">
        <v>30</v>
      </c>
      <c r="F67" s="675">
        <v>735</v>
      </c>
      <c r="G67" s="676">
        <v>88</v>
      </c>
      <c r="H67" s="676">
        <v>0</v>
      </c>
      <c r="I67" s="676">
        <v>289.36700000000002</v>
      </c>
      <c r="J67" s="676">
        <v>0</v>
      </c>
      <c r="K67" s="676">
        <v>0</v>
      </c>
      <c r="L67" s="676">
        <v>0</v>
      </c>
      <c r="M67" s="676">
        <v>0</v>
      </c>
      <c r="N67" s="666">
        <v>88</v>
      </c>
    </row>
    <row r="68" spans="1:14" ht="18.75" hidden="1">
      <c r="A68" s="674" t="s">
        <v>630</v>
      </c>
      <c r="B68" s="42" t="s">
        <v>343</v>
      </c>
      <c r="C68" s="42">
        <v>101215</v>
      </c>
      <c r="D68" s="42" t="s">
        <v>344</v>
      </c>
      <c r="E68" s="675">
        <v>30</v>
      </c>
      <c r="F68" s="675">
        <v>825</v>
      </c>
      <c r="G68" s="676">
        <v>613.26400000000001</v>
      </c>
      <c r="H68" s="676">
        <v>0</v>
      </c>
      <c r="I68" s="676">
        <v>0</v>
      </c>
      <c r="J68" s="676">
        <v>0</v>
      </c>
      <c r="K68" s="676">
        <v>0</v>
      </c>
      <c r="L68" s="676">
        <v>0</v>
      </c>
      <c r="M68" s="676">
        <v>0</v>
      </c>
      <c r="N68" s="666">
        <v>613.26</v>
      </c>
    </row>
    <row r="69" spans="1:14" ht="18.75" hidden="1">
      <c r="A69" s="674" t="s">
        <v>630</v>
      </c>
      <c r="B69" s="42" t="s">
        <v>343</v>
      </c>
      <c r="C69" s="42">
        <v>105123</v>
      </c>
      <c r="D69" s="42" t="s">
        <v>718</v>
      </c>
      <c r="E69" s="675">
        <v>30</v>
      </c>
      <c r="F69" s="675">
        <v>1035</v>
      </c>
      <c r="G69" s="676">
        <v>97.4</v>
      </c>
      <c r="H69" s="676">
        <v>0</v>
      </c>
      <c r="I69" s="676">
        <v>0</v>
      </c>
      <c r="J69" s="676">
        <v>0</v>
      </c>
      <c r="K69" s="676">
        <v>0</v>
      </c>
      <c r="L69" s="676">
        <v>0</v>
      </c>
      <c r="M69" s="676">
        <v>0</v>
      </c>
      <c r="N69" s="666">
        <v>97.4</v>
      </c>
    </row>
    <row r="70" spans="1:14" ht="18.75" hidden="1">
      <c r="A70" s="674" t="s">
        <v>630</v>
      </c>
      <c r="B70" s="42" t="s">
        <v>343</v>
      </c>
      <c r="C70" s="42">
        <v>101880</v>
      </c>
      <c r="D70" s="42" t="s">
        <v>488</v>
      </c>
      <c r="E70" s="675">
        <v>35</v>
      </c>
      <c r="F70" s="675">
        <v>655</v>
      </c>
      <c r="G70" s="676">
        <v>130</v>
      </c>
      <c r="H70" s="676">
        <v>0</v>
      </c>
      <c r="I70" s="676">
        <v>0</v>
      </c>
      <c r="J70" s="676">
        <v>0</v>
      </c>
      <c r="K70" s="676">
        <v>0</v>
      </c>
      <c r="L70" s="676">
        <v>0</v>
      </c>
      <c r="M70" s="676">
        <v>0</v>
      </c>
      <c r="N70" s="666">
        <v>130</v>
      </c>
    </row>
    <row r="71" spans="1:14" ht="18.75" hidden="1">
      <c r="A71" s="674" t="s">
        <v>630</v>
      </c>
      <c r="B71" s="42" t="s">
        <v>343</v>
      </c>
      <c r="C71" s="42">
        <v>104983</v>
      </c>
      <c r="D71" s="42" t="s">
        <v>667</v>
      </c>
      <c r="E71" s="675">
        <v>35</v>
      </c>
      <c r="F71" s="675">
        <v>865</v>
      </c>
      <c r="G71" s="676">
        <v>2105.87</v>
      </c>
      <c r="H71" s="676">
        <v>0</v>
      </c>
      <c r="I71" s="676">
        <v>21</v>
      </c>
      <c r="J71" s="676">
        <v>0</v>
      </c>
      <c r="K71" s="676">
        <v>0</v>
      </c>
      <c r="L71" s="676">
        <v>0</v>
      </c>
      <c r="M71" s="676">
        <v>0</v>
      </c>
      <c r="N71" s="666">
        <v>2105.87</v>
      </c>
    </row>
    <row r="72" spans="1:14" ht="18.75" hidden="1">
      <c r="A72" s="674" t="s">
        <v>630</v>
      </c>
      <c r="B72" s="42" t="s">
        <v>343</v>
      </c>
      <c r="C72" s="42">
        <v>105011</v>
      </c>
      <c r="D72" s="42" t="s">
        <v>674</v>
      </c>
      <c r="E72" s="675">
        <v>35</v>
      </c>
      <c r="F72" s="675">
        <v>895</v>
      </c>
      <c r="G72" s="676">
        <v>439.11500000000001</v>
      </c>
      <c r="H72" s="676">
        <v>0</v>
      </c>
      <c r="I72" s="676">
        <v>0</v>
      </c>
      <c r="J72" s="676">
        <v>0</v>
      </c>
      <c r="K72" s="676">
        <v>0</v>
      </c>
      <c r="L72" s="676">
        <v>0</v>
      </c>
      <c r="M72" s="676">
        <v>0</v>
      </c>
      <c r="N72" s="666">
        <v>439.12</v>
      </c>
    </row>
    <row r="73" spans="1:14" ht="18.75" hidden="1">
      <c r="A73" s="674" t="s">
        <v>630</v>
      </c>
      <c r="B73" s="42" t="s">
        <v>343</v>
      </c>
      <c r="C73" s="42">
        <v>103470</v>
      </c>
      <c r="D73" s="42" t="s">
        <v>491</v>
      </c>
      <c r="E73" s="675">
        <v>35</v>
      </c>
      <c r="F73" s="675">
        <v>1035</v>
      </c>
      <c r="G73" s="676">
        <v>722.26400000000001</v>
      </c>
      <c r="H73" s="676">
        <v>0</v>
      </c>
      <c r="I73" s="676">
        <v>0</v>
      </c>
      <c r="J73" s="676">
        <v>0</v>
      </c>
      <c r="K73" s="676">
        <v>0</v>
      </c>
      <c r="L73" s="676">
        <v>0</v>
      </c>
      <c r="M73" s="676">
        <v>0</v>
      </c>
      <c r="N73" s="666">
        <v>722.26</v>
      </c>
    </row>
    <row r="74" spans="1:14" ht="18.75" hidden="1">
      <c r="A74" s="674" t="s">
        <v>630</v>
      </c>
      <c r="B74" s="42" t="s">
        <v>345</v>
      </c>
      <c r="C74" s="42">
        <v>103496</v>
      </c>
      <c r="D74" s="42" t="s">
        <v>459</v>
      </c>
      <c r="E74" s="675">
        <v>20</v>
      </c>
      <c r="F74" s="675">
        <v>990</v>
      </c>
      <c r="G74" s="676">
        <v>2228.6</v>
      </c>
      <c r="H74" s="676">
        <v>0</v>
      </c>
      <c r="I74" s="676">
        <v>0</v>
      </c>
      <c r="J74" s="676">
        <v>0</v>
      </c>
      <c r="K74" s="676">
        <v>0</v>
      </c>
      <c r="L74" s="676">
        <v>0</v>
      </c>
      <c r="M74" s="676">
        <v>0</v>
      </c>
      <c r="N74" s="666">
        <v>2228.6</v>
      </c>
    </row>
    <row r="75" spans="1:14" ht="18.75" hidden="1">
      <c r="A75" s="674" t="s">
        <v>630</v>
      </c>
      <c r="B75" s="42" t="s">
        <v>345</v>
      </c>
      <c r="C75" s="42">
        <v>104712</v>
      </c>
      <c r="D75" s="42" t="s">
        <v>578</v>
      </c>
      <c r="E75" s="675">
        <v>20</v>
      </c>
      <c r="F75" s="675">
        <v>1055</v>
      </c>
      <c r="G75" s="676">
        <v>16</v>
      </c>
      <c r="H75" s="676">
        <v>0</v>
      </c>
      <c r="I75" s="676">
        <v>0</v>
      </c>
      <c r="J75" s="676">
        <v>0</v>
      </c>
      <c r="K75" s="676">
        <v>0</v>
      </c>
      <c r="L75" s="676">
        <v>0</v>
      </c>
      <c r="M75" s="676">
        <v>34</v>
      </c>
      <c r="N75" s="666">
        <v>50</v>
      </c>
    </row>
    <row r="76" spans="1:14" ht="18.75" hidden="1">
      <c r="A76" s="674" t="s">
        <v>630</v>
      </c>
      <c r="B76" s="42" t="s">
        <v>345</v>
      </c>
      <c r="C76" s="42">
        <v>104948</v>
      </c>
      <c r="D76" s="42" t="s">
        <v>713</v>
      </c>
      <c r="E76" s="675">
        <v>20</v>
      </c>
      <c r="F76" s="675">
        <v>1075</v>
      </c>
      <c r="G76" s="676">
        <v>3515.1959999999999</v>
      </c>
      <c r="H76" s="676">
        <v>0</v>
      </c>
      <c r="I76" s="676">
        <v>0</v>
      </c>
      <c r="J76" s="676">
        <v>0</v>
      </c>
      <c r="K76" s="676">
        <v>0</v>
      </c>
      <c r="L76" s="676">
        <v>0</v>
      </c>
      <c r="M76" s="676">
        <v>0</v>
      </c>
      <c r="N76" s="666">
        <v>3515.2</v>
      </c>
    </row>
    <row r="77" spans="1:14" ht="18.75" hidden="1">
      <c r="A77" s="674" t="s">
        <v>630</v>
      </c>
      <c r="B77" s="42" t="s">
        <v>345</v>
      </c>
      <c r="C77" s="42">
        <v>104156</v>
      </c>
      <c r="D77" s="42" t="s">
        <v>803</v>
      </c>
      <c r="E77" s="675">
        <v>20</v>
      </c>
      <c r="F77" s="675">
        <v>1100</v>
      </c>
      <c r="G77" s="676">
        <v>4810.5450000000001</v>
      </c>
      <c r="H77" s="676">
        <v>0</v>
      </c>
      <c r="I77" s="676">
        <v>817.18499999999995</v>
      </c>
      <c r="J77" s="676">
        <v>0</v>
      </c>
      <c r="K77" s="676">
        <v>0</v>
      </c>
      <c r="L77" s="676">
        <v>0</v>
      </c>
      <c r="M77" s="676">
        <v>0</v>
      </c>
      <c r="N77" s="666">
        <v>4810.55</v>
      </c>
    </row>
    <row r="78" spans="1:14" ht="18.75" hidden="1">
      <c r="A78" s="674" t="s">
        <v>630</v>
      </c>
      <c r="B78" s="42" t="s">
        <v>345</v>
      </c>
      <c r="C78" s="42">
        <v>105212</v>
      </c>
      <c r="D78" s="42" t="s">
        <v>849</v>
      </c>
      <c r="E78" s="675">
        <v>20</v>
      </c>
      <c r="F78" s="675">
        <v>1165</v>
      </c>
      <c r="G78" s="676">
        <v>802.21799999999996</v>
      </c>
      <c r="H78" s="676">
        <v>0</v>
      </c>
      <c r="I78" s="676">
        <v>4150.4080000000004</v>
      </c>
      <c r="J78" s="676">
        <v>3022.54</v>
      </c>
      <c r="K78" s="676">
        <v>0</v>
      </c>
      <c r="L78" s="676">
        <v>863.00900000000001</v>
      </c>
      <c r="M78" s="676">
        <v>0</v>
      </c>
      <c r="N78" s="666">
        <v>1665.23</v>
      </c>
    </row>
    <row r="79" spans="1:14" ht="18.75" hidden="1">
      <c r="A79" s="674" t="s">
        <v>630</v>
      </c>
      <c r="B79" s="42" t="s">
        <v>345</v>
      </c>
      <c r="C79" s="42">
        <v>100045</v>
      </c>
      <c r="D79" s="42" t="s">
        <v>804</v>
      </c>
      <c r="E79" s="675">
        <v>22</v>
      </c>
      <c r="F79" s="675">
        <v>1065</v>
      </c>
      <c r="G79" s="676">
        <v>1087.1120000000001</v>
      </c>
      <c r="H79" s="676">
        <v>0</v>
      </c>
      <c r="I79" s="676">
        <v>1325.616</v>
      </c>
      <c r="J79" s="676">
        <v>0</v>
      </c>
      <c r="K79" s="676">
        <v>1095.51</v>
      </c>
      <c r="L79" s="676">
        <v>0</v>
      </c>
      <c r="M79" s="676">
        <v>116.3</v>
      </c>
      <c r="N79" s="666">
        <v>2298.92</v>
      </c>
    </row>
    <row r="80" spans="1:14" ht="18.75" hidden="1">
      <c r="A80" s="674" t="s">
        <v>630</v>
      </c>
      <c r="B80" s="42" t="s">
        <v>345</v>
      </c>
      <c r="C80" s="42">
        <v>101202</v>
      </c>
      <c r="D80" s="42" t="s">
        <v>805</v>
      </c>
      <c r="E80" s="675">
        <v>25</v>
      </c>
      <c r="F80" s="675">
        <v>695</v>
      </c>
      <c r="G80" s="676">
        <v>0</v>
      </c>
      <c r="H80" s="676">
        <v>0</v>
      </c>
      <c r="I80" s="676">
        <v>0</v>
      </c>
      <c r="J80" s="676">
        <v>0</v>
      </c>
      <c r="K80" s="676">
        <v>0</v>
      </c>
      <c r="L80" s="676">
        <v>89.4</v>
      </c>
      <c r="M80" s="676">
        <v>0</v>
      </c>
      <c r="N80" s="666">
        <v>89.4</v>
      </c>
    </row>
    <row r="81" spans="1:14" ht="18.75" hidden="1">
      <c r="A81" s="674" t="s">
        <v>630</v>
      </c>
      <c r="B81" s="42" t="s">
        <v>345</v>
      </c>
      <c r="C81" s="42">
        <v>103085</v>
      </c>
      <c r="D81" s="42" t="s">
        <v>806</v>
      </c>
      <c r="E81" s="675">
        <v>25</v>
      </c>
      <c r="F81" s="675">
        <v>990</v>
      </c>
      <c r="G81" s="676">
        <v>766</v>
      </c>
      <c r="H81" s="676">
        <v>0</v>
      </c>
      <c r="I81" s="676">
        <v>0</v>
      </c>
      <c r="J81" s="676">
        <v>0</v>
      </c>
      <c r="K81" s="676">
        <v>0</v>
      </c>
      <c r="L81" s="676">
        <v>0</v>
      </c>
      <c r="M81" s="676">
        <v>0</v>
      </c>
      <c r="N81" s="666">
        <v>766</v>
      </c>
    </row>
    <row r="82" spans="1:14" ht="18.75" hidden="1">
      <c r="A82" s="674" t="s">
        <v>630</v>
      </c>
      <c r="B82" s="42" t="s">
        <v>345</v>
      </c>
      <c r="C82" s="42">
        <v>105193</v>
      </c>
      <c r="D82" s="42" t="s">
        <v>826</v>
      </c>
      <c r="E82" s="675">
        <v>25</v>
      </c>
      <c r="F82" s="675">
        <v>1075</v>
      </c>
      <c r="G82" s="676">
        <v>111.544</v>
      </c>
      <c r="H82" s="676">
        <v>0</v>
      </c>
      <c r="I82" s="676">
        <v>0</v>
      </c>
      <c r="J82" s="676">
        <v>0</v>
      </c>
      <c r="K82" s="676">
        <v>0</v>
      </c>
      <c r="L82" s="676">
        <v>0</v>
      </c>
      <c r="M82" s="676">
        <v>0</v>
      </c>
      <c r="N82" s="666">
        <v>111.54</v>
      </c>
    </row>
    <row r="83" spans="1:14" ht="18.75" hidden="1">
      <c r="A83" s="674" t="s">
        <v>630</v>
      </c>
      <c r="B83" s="42" t="s">
        <v>345</v>
      </c>
      <c r="C83" s="42">
        <v>103805</v>
      </c>
      <c r="D83" s="42" t="s">
        <v>807</v>
      </c>
      <c r="E83" s="675">
        <v>30</v>
      </c>
      <c r="F83" s="675">
        <v>795</v>
      </c>
      <c r="G83" s="676">
        <v>0</v>
      </c>
      <c r="H83" s="676">
        <v>0</v>
      </c>
      <c r="I83" s="676">
        <v>1031.04</v>
      </c>
      <c r="J83" s="676">
        <v>1500</v>
      </c>
      <c r="K83" s="676">
        <v>0</v>
      </c>
      <c r="L83" s="676">
        <v>0</v>
      </c>
      <c r="M83" s="676">
        <v>0</v>
      </c>
      <c r="N83" s="666">
        <v>0</v>
      </c>
    </row>
    <row r="84" spans="1:14" ht="18.75" hidden="1">
      <c r="A84" s="674" t="s">
        <v>630</v>
      </c>
      <c r="B84" s="42" t="s">
        <v>345</v>
      </c>
      <c r="C84" s="42">
        <v>103549</v>
      </c>
      <c r="D84" s="42" t="s">
        <v>808</v>
      </c>
      <c r="E84" s="675">
        <v>30</v>
      </c>
      <c r="F84" s="675">
        <v>815</v>
      </c>
      <c r="G84" s="676">
        <v>0</v>
      </c>
      <c r="H84" s="676">
        <v>0</v>
      </c>
      <c r="I84" s="676">
        <v>2313.7280000000001</v>
      </c>
      <c r="J84" s="676">
        <v>0</v>
      </c>
      <c r="K84" s="676">
        <v>0</v>
      </c>
      <c r="L84" s="676">
        <v>0</v>
      </c>
      <c r="M84" s="676">
        <v>0</v>
      </c>
      <c r="N84" s="666">
        <v>0</v>
      </c>
    </row>
    <row r="85" spans="1:14" ht="18.75" hidden="1">
      <c r="A85" s="674" t="s">
        <v>630</v>
      </c>
      <c r="B85" s="42" t="s">
        <v>345</v>
      </c>
      <c r="C85" s="42">
        <v>105048</v>
      </c>
      <c r="D85" s="42" t="s">
        <v>809</v>
      </c>
      <c r="E85" s="675">
        <v>30</v>
      </c>
      <c r="F85" s="675">
        <v>900</v>
      </c>
      <c r="G85" s="676">
        <v>250.58500000000001</v>
      </c>
      <c r="H85" s="676">
        <v>0</v>
      </c>
      <c r="I85" s="676">
        <v>0</v>
      </c>
      <c r="J85" s="676">
        <v>0</v>
      </c>
      <c r="K85" s="676">
        <v>0</v>
      </c>
      <c r="L85" s="676">
        <v>0</v>
      </c>
      <c r="M85" s="676">
        <v>0</v>
      </c>
      <c r="N85" s="666">
        <v>250.59</v>
      </c>
    </row>
    <row r="86" spans="1:14" ht="18.75" hidden="1">
      <c r="A86" s="674" t="s">
        <v>630</v>
      </c>
      <c r="B86" s="42" t="s">
        <v>345</v>
      </c>
      <c r="C86" s="42">
        <v>104963</v>
      </c>
      <c r="D86" s="42" t="s">
        <v>810</v>
      </c>
      <c r="E86" s="675">
        <v>30</v>
      </c>
      <c r="F86" s="675">
        <v>1115</v>
      </c>
      <c r="G86" s="676">
        <v>63</v>
      </c>
      <c r="H86" s="676">
        <v>0</v>
      </c>
      <c r="I86" s="676">
        <v>0</v>
      </c>
      <c r="J86" s="676">
        <v>0</v>
      </c>
      <c r="K86" s="676">
        <v>0</v>
      </c>
      <c r="L86" s="676">
        <v>0</v>
      </c>
      <c r="M86" s="676">
        <v>0</v>
      </c>
      <c r="N86" s="666">
        <v>63</v>
      </c>
    </row>
    <row r="87" spans="1:14" ht="18.75" hidden="1">
      <c r="A87" s="674" t="s">
        <v>630</v>
      </c>
      <c r="B87" s="42" t="s">
        <v>346</v>
      </c>
      <c r="C87" s="42">
        <v>102353</v>
      </c>
      <c r="D87" s="42" t="s">
        <v>811</v>
      </c>
      <c r="E87" s="675">
        <v>20</v>
      </c>
      <c r="F87" s="675">
        <v>1068</v>
      </c>
      <c r="G87" s="676">
        <v>4278.5460000000003</v>
      </c>
      <c r="H87" s="676">
        <v>0</v>
      </c>
      <c r="I87" s="676">
        <v>4546.0320000000002</v>
      </c>
      <c r="J87" s="676">
        <v>0</v>
      </c>
      <c r="K87" s="676">
        <v>0</v>
      </c>
      <c r="L87" s="676">
        <v>0</v>
      </c>
      <c r="M87" s="676">
        <v>0</v>
      </c>
      <c r="N87" s="666">
        <v>4278.55</v>
      </c>
    </row>
    <row r="88" spans="1:14" ht="18.75" hidden="1">
      <c r="A88" s="674" t="s">
        <v>630</v>
      </c>
      <c r="B88" s="42" t="s">
        <v>346</v>
      </c>
      <c r="C88" s="42">
        <v>104542</v>
      </c>
      <c r="D88" s="42" t="s">
        <v>812</v>
      </c>
      <c r="E88" s="675">
        <v>20</v>
      </c>
      <c r="F88" s="675">
        <v>1089</v>
      </c>
      <c r="G88" s="676">
        <v>0</v>
      </c>
      <c r="H88" s="676">
        <v>0</v>
      </c>
      <c r="I88" s="676">
        <v>140</v>
      </c>
      <c r="J88" s="676">
        <v>0</v>
      </c>
      <c r="K88" s="676">
        <v>0</v>
      </c>
      <c r="L88" s="676">
        <v>0</v>
      </c>
      <c r="M88" s="676">
        <v>0</v>
      </c>
      <c r="N88" s="666">
        <v>0</v>
      </c>
    </row>
    <row r="89" spans="1:14" ht="18.75" hidden="1">
      <c r="A89" s="674" t="s">
        <v>630</v>
      </c>
      <c r="B89" s="42" t="s">
        <v>346</v>
      </c>
      <c r="C89" s="42">
        <v>104842</v>
      </c>
      <c r="D89" s="42" t="s">
        <v>813</v>
      </c>
      <c r="E89" s="675">
        <v>25</v>
      </c>
      <c r="F89" s="675">
        <v>850</v>
      </c>
      <c r="G89" s="676">
        <v>138</v>
      </c>
      <c r="H89" s="676">
        <v>0</v>
      </c>
      <c r="I89" s="676">
        <v>0</v>
      </c>
      <c r="J89" s="676">
        <v>0</v>
      </c>
      <c r="K89" s="676">
        <v>0</v>
      </c>
      <c r="L89" s="676">
        <v>0</v>
      </c>
      <c r="M89" s="676">
        <v>0</v>
      </c>
      <c r="N89" s="666">
        <v>138</v>
      </c>
    </row>
    <row r="90" spans="1:14" ht="18.75" hidden="1">
      <c r="A90" s="674" t="s">
        <v>630</v>
      </c>
      <c r="B90" s="42" t="s">
        <v>346</v>
      </c>
      <c r="C90" s="42">
        <v>104896</v>
      </c>
      <c r="D90" s="42" t="s">
        <v>801</v>
      </c>
      <c r="E90" s="675">
        <v>25</v>
      </c>
      <c r="F90" s="675">
        <v>1127</v>
      </c>
      <c r="G90" s="676">
        <v>6699.625</v>
      </c>
      <c r="H90" s="676">
        <v>0</v>
      </c>
      <c r="I90" s="676">
        <v>8122.8</v>
      </c>
      <c r="J90" s="676">
        <v>0</v>
      </c>
      <c r="K90" s="676">
        <v>0</v>
      </c>
      <c r="L90" s="676">
        <v>0</v>
      </c>
      <c r="M90" s="676">
        <v>0</v>
      </c>
      <c r="N90" s="666">
        <v>6699.63</v>
      </c>
    </row>
    <row r="91" spans="1:14" ht="18.75" hidden="1">
      <c r="A91" s="674" t="s">
        <v>631</v>
      </c>
      <c r="B91" s="42" t="s">
        <v>482</v>
      </c>
      <c r="C91" s="42">
        <v>103820</v>
      </c>
      <c r="D91" s="42" t="s">
        <v>483</v>
      </c>
      <c r="E91" s="675">
        <v>9</v>
      </c>
      <c r="F91" s="675">
        <v>795</v>
      </c>
      <c r="G91" s="676">
        <v>14.1</v>
      </c>
      <c r="H91" s="676">
        <v>0</v>
      </c>
      <c r="I91" s="676">
        <v>0</v>
      </c>
      <c r="J91" s="676">
        <v>0</v>
      </c>
      <c r="K91" s="676">
        <v>0</v>
      </c>
      <c r="L91" s="676">
        <v>0</v>
      </c>
      <c r="M91" s="676">
        <v>0</v>
      </c>
      <c r="N91" s="666">
        <v>14.1</v>
      </c>
    </row>
    <row r="92" spans="1:14" ht="18.75" hidden="1">
      <c r="A92" s="674" t="s">
        <v>169</v>
      </c>
      <c r="B92" s="42" t="s">
        <v>169</v>
      </c>
      <c r="C92" s="42">
        <v>104718</v>
      </c>
      <c r="D92" s="42" t="s">
        <v>582</v>
      </c>
      <c r="E92" s="675">
        <v>0</v>
      </c>
      <c r="F92" s="675">
        <v>550</v>
      </c>
      <c r="G92" s="676">
        <v>0</v>
      </c>
      <c r="H92" s="676">
        <v>0</v>
      </c>
      <c r="I92" s="676">
        <v>0</v>
      </c>
      <c r="J92" s="676">
        <v>150</v>
      </c>
      <c r="K92" s="676">
        <v>0</v>
      </c>
      <c r="L92" s="676">
        <v>0</v>
      </c>
      <c r="M92" s="676">
        <v>0</v>
      </c>
      <c r="N92" s="666">
        <v>0</v>
      </c>
    </row>
    <row r="93" spans="1:14" ht="18.75" hidden="1">
      <c r="A93" s="674" t="s">
        <v>169</v>
      </c>
      <c r="B93" s="42" t="s">
        <v>169</v>
      </c>
      <c r="C93" s="42">
        <v>104864</v>
      </c>
      <c r="D93" s="42" t="s">
        <v>650</v>
      </c>
      <c r="E93" s="675">
        <v>0</v>
      </c>
      <c r="F93" s="675">
        <v>720</v>
      </c>
      <c r="G93" s="676">
        <v>0</v>
      </c>
      <c r="H93" s="676">
        <v>0</v>
      </c>
      <c r="I93" s="676">
        <v>0</v>
      </c>
      <c r="J93" s="676">
        <v>0</v>
      </c>
      <c r="K93" s="676">
        <v>0</v>
      </c>
      <c r="L93" s="676">
        <v>145.4</v>
      </c>
      <c r="M93" s="676">
        <v>0</v>
      </c>
      <c r="N93" s="666">
        <v>145.4</v>
      </c>
    </row>
    <row r="94" spans="1:14" ht="18.75" hidden="1">
      <c r="A94" s="674" t="s">
        <v>169</v>
      </c>
      <c r="B94" s="42" t="s">
        <v>169</v>
      </c>
      <c r="C94" s="42">
        <v>104837</v>
      </c>
      <c r="D94" s="42" t="s">
        <v>608</v>
      </c>
      <c r="E94" s="675">
        <v>0</v>
      </c>
      <c r="F94" s="675">
        <v>738</v>
      </c>
      <c r="G94" s="676">
        <v>316</v>
      </c>
      <c r="H94" s="676">
        <v>0</v>
      </c>
      <c r="I94" s="676">
        <v>0</v>
      </c>
      <c r="J94" s="676">
        <v>0</v>
      </c>
      <c r="K94" s="676">
        <v>0</v>
      </c>
      <c r="L94" s="676">
        <v>0</v>
      </c>
      <c r="M94" s="676">
        <v>0</v>
      </c>
      <c r="N94" s="666">
        <v>316</v>
      </c>
    </row>
    <row r="95" spans="1:14" ht="18.75" hidden="1">
      <c r="A95" s="674" t="s">
        <v>169</v>
      </c>
      <c r="B95" s="42" t="s">
        <v>169</v>
      </c>
      <c r="C95" s="42">
        <v>104679</v>
      </c>
      <c r="D95" s="42" t="s">
        <v>572</v>
      </c>
      <c r="E95" s="675">
        <v>0</v>
      </c>
      <c r="F95" s="675">
        <v>840</v>
      </c>
      <c r="G95" s="676">
        <v>362</v>
      </c>
      <c r="H95" s="676">
        <v>0</v>
      </c>
      <c r="I95" s="676">
        <v>0</v>
      </c>
      <c r="J95" s="676">
        <v>0</v>
      </c>
      <c r="K95" s="676">
        <v>0</v>
      </c>
      <c r="L95" s="676">
        <v>0</v>
      </c>
      <c r="M95" s="676">
        <v>0</v>
      </c>
      <c r="N95" s="666">
        <v>362</v>
      </c>
    </row>
    <row r="96" spans="1:14" ht="18.75" hidden="1">
      <c r="A96" s="674" t="s">
        <v>169</v>
      </c>
      <c r="B96" s="42" t="s">
        <v>169</v>
      </c>
      <c r="C96" s="42">
        <v>103744</v>
      </c>
      <c r="D96" s="42" t="s">
        <v>475</v>
      </c>
      <c r="E96" s="675">
        <v>0</v>
      </c>
      <c r="F96" s="675">
        <v>930</v>
      </c>
      <c r="G96" s="676">
        <v>19.600000000000001</v>
      </c>
      <c r="H96" s="676">
        <v>0</v>
      </c>
      <c r="I96" s="676">
        <v>0</v>
      </c>
      <c r="J96" s="676">
        <v>0</v>
      </c>
      <c r="K96" s="676">
        <v>0</v>
      </c>
      <c r="L96" s="676">
        <v>0</v>
      </c>
      <c r="M96" s="676">
        <v>0</v>
      </c>
      <c r="N96" s="666">
        <v>19.600000000000001</v>
      </c>
    </row>
    <row r="97" spans="1:14" ht="18.75" hidden="1">
      <c r="A97" s="674" t="s">
        <v>169</v>
      </c>
      <c r="B97" s="42" t="s">
        <v>169</v>
      </c>
      <c r="C97" s="42">
        <v>104717</v>
      </c>
      <c r="D97" s="42" t="s">
        <v>583</v>
      </c>
      <c r="E97" s="675">
        <v>0</v>
      </c>
      <c r="F97" s="675">
        <v>1250</v>
      </c>
      <c r="G97" s="676">
        <v>0</v>
      </c>
      <c r="H97" s="676">
        <v>0</v>
      </c>
      <c r="I97" s="676">
        <v>0</v>
      </c>
      <c r="J97" s="676">
        <v>350</v>
      </c>
      <c r="K97" s="676">
        <v>0</v>
      </c>
      <c r="L97" s="676">
        <v>0</v>
      </c>
      <c r="M97" s="676">
        <v>0</v>
      </c>
      <c r="N97" s="666">
        <v>0</v>
      </c>
    </row>
    <row r="98" spans="1:14" ht="18.75" hidden="1">
      <c r="A98" s="674" t="s">
        <v>169</v>
      </c>
      <c r="B98" s="42" t="s">
        <v>169</v>
      </c>
      <c r="C98" s="42">
        <v>104271</v>
      </c>
      <c r="D98" s="42" t="s">
        <v>509</v>
      </c>
      <c r="E98" s="675">
        <v>40</v>
      </c>
      <c r="F98" s="675">
        <v>925</v>
      </c>
      <c r="G98" s="676">
        <v>0</v>
      </c>
      <c r="H98" s="676">
        <v>0</v>
      </c>
      <c r="I98" s="676">
        <v>290</v>
      </c>
      <c r="J98" s="676">
        <v>2329</v>
      </c>
      <c r="K98" s="676">
        <v>0</v>
      </c>
      <c r="L98" s="676">
        <v>18.5</v>
      </c>
      <c r="M98" s="676">
        <v>0</v>
      </c>
      <c r="N98" s="666">
        <v>18.5</v>
      </c>
    </row>
    <row r="99" spans="1:14" ht="18.75" hidden="1">
      <c r="A99" s="674" t="s">
        <v>632</v>
      </c>
      <c r="B99" s="42" t="s">
        <v>347</v>
      </c>
      <c r="C99" s="42">
        <v>105141</v>
      </c>
      <c r="D99" s="42" t="s">
        <v>726</v>
      </c>
      <c r="E99" s="675">
        <v>8</v>
      </c>
      <c r="F99" s="675">
        <v>650</v>
      </c>
      <c r="G99" s="676">
        <v>5.5</v>
      </c>
      <c r="H99" s="676">
        <v>0</v>
      </c>
      <c r="I99" s="676">
        <v>0</v>
      </c>
      <c r="J99" s="676">
        <v>0</v>
      </c>
      <c r="K99" s="676">
        <v>0</v>
      </c>
      <c r="L99" s="676">
        <v>0</v>
      </c>
      <c r="M99" s="676">
        <v>0</v>
      </c>
      <c r="N99" s="666">
        <v>5.5</v>
      </c>
    </row>
    <row r="100" spans="1:14" ht="18.75" hidden="1">
      <c r="A100" s="674" t="s">
        <v>632</v>
      </c>
      <c r="B100" s="42" t="s">
        <v>347</v>
      </c>
      <c r="C100" s="42">
        <v>104652</v>
      </c>
      <c r="D100" s="42" t="s">
        <v>589</v>
      </c>
      <c r="E100" s="675">
        <v>8</v>
      </c>
      <c r="F100" s="675">
        <v>1030</v>
      </c>
      <c r="G100" s="676">
        <v>765.81200000000001</v>
      </c>
      <c r="H100" s="676">
        <v>0</v>
      </c>
      <c r="I100" s="676">
        <v>0</v>
      </c>
      <c r="J100" s="676">
        <v>0</v>
      </c>
      <c r="K100" s="676">
        <v>0</v>
      </c>
      <c r="L100" s="676">
        <v>0</v>
      </c>
      <c r="M100" s="676">
        <v>0</v>
      </c>
      <c r="N100" s="666">
        <v>765.81</v>
      </c>
    </row>
    <row r="101" spans="1:14" ht="18.75" hidden="1">
      <c r="A101" s="674" t="s">
        <v>632</v>
      </c>
      <c r="B101" s="42" t="s">
        <v>347</v>
      </c>
      <c r="C101" s="42">
        <v>104404</v>
      </c>
      <c r="D101" s="42" t="s">
        <v>519</v>
      </c>
      <c r="E101" s="675">
        <v>8</v>
      </c>
      <c r="F101" s="675">
        <v>1110</v>
      </c>
      <c r="G101" s="676">
        <v>14100.871999999999</v>
      </c>
      <c r="H101" s="676">
        <v>0</v>
      </c>
      <c r="I101" s="676">
        <v>3014.0120000000002</v>
      </c>
      <c r="J101" s="676">
        <v>0</v>
      </c>
      <c r="K101" s="676">
        <v>0</v>
      </c>
      <c r="L101" s="676">
        <v>0</v>
      </c>
      <c r="M101" s="676">
        <v>0</v>
      </c>
      <c r="N101" s="666">
        <v>14100.87</v>
      </c>
    </row>
    <row r="102" spans="1:14" ht="18.75" hidden="1">
      <c r="A102" s="674" t="s">
        <v>632</v>
      </c>
      <c r="B102" s="42" t="s">
        <v>347</v>
      </c>
      <c r="C102" s="42">
        <v>104403</v>
      </c>
      <c r="D102" s="42" t="s">
        <v>520</v>
      </c>
      <c r="E102" s="675">
        <v>8</v>
      </c>
      <c r="F102" s="675">
        <v>1130</v>
      </c>
      <c r="G102" s="676">
        <v>2090.4479999999999</v>
      </c>
      <c r="H102" s="676">
        <v>0</v>
      </c>
      <c r="I102" s="676">
        <v>0</v>
      </c>
      <c r="J102" s="676">
        <v>0</v>
      </c>
      <c r="K102" s="676">
        <v>0</v>
      </c>
      <c r="L102" s="676">
        <v>0</v>
      </c>
      <c r="M102" s="676">
        <v>0</v>
      </c>
      <c r="N102" s="666">
        <v>2090.4499999999998</v>
      </c>
    </row>
    <row r="103" spans="1:14" ht="18.75">
      <c r="A103" s="674" t="s">
        <v>632</v>
      </c>
      <c r="B103" s="42" t="s">
        <v>347</v>
      </c>
      <c r="C103" s="42">
        <v>104946</v>
      </c>
      <c r="D103" s="42" t="s">
        <v>661</v>
      </c>
      <c r="E103" s="675">
        <v>8</v>
      </c>
      <c r="F103" s="675">
        <v>1175</v>
      </c>
      <c r="G103" s="676">
        <v>468.94900000000001</v>
      </c>
      <c r="H103" s="676">
        <v>0</v>
      </c>
      <c r="I103" s="676">
        <v>0</v>
      </c>
      <c r="J103" s="676">
        <v>0</v>
      </c>
      <c r="K103" s="676">
        <v>0</v>
      </c>
      <c r="L103" s="676">
        <v>0</v>
      </c>
      <c r="M103" s="676">
        <v>0</v>
      </c>
      <c r="N103" s="666">
        <v>468.95</v>
      </c>
    </row>
    <row r="104" spans="1:14" ht="18.75" hidden="1">
      <c r="A104" s="674" t="s">
        <v>632</v>
      </c>
      <c r="B104" s="42" t="s">
        <v>347</v>
      </c>
      <c r="C104" s="42">
        <v>104402</v>
      </c>
      <c r="D104" s="42" t="s">
        <v>521</v>
      </c>
      <c r="E104" s="675">
        <v>8</v>
      </c>
      <c r="F104" s="675">
        <v>1210</v>
      </c>
      <c r="G104" s="676">
        <v>4295.2290000000003</v>
      </c>
      <c r="H104" s="676">
        <v>251</v>
      </c>
      <c r="I104" s="676">
        <v>1060.3820000000001</v>
      </c>
      <c r="J104" s="676">
        <v>0</v>
      </c>
      <c r="K104" s="676">
        <v>0</v>
      </c>
      <c r="L104" s="676">
        <v>0</v>
      </c>
      <c r="M104" s="676">
        <v>0</v>
      </c>
      <c r="N104" s="666">
        <v>4546.2299999999996</v>
      </c>
    </row>
    <row r="105" spans="1:14" ht="18.75" hidden="1">
      <c r="A105" s="674" t="s">
        <v>632</v>
      </c>
      <c r="B105" s="42" t="s">
        <v>347</v>
      </c>
      <c r="C105" s="42">
        <v>105098</v>
      </c>
      <c r="D105" s="42" t="s">
        <v>702</v>
      </c>
      <c r="E105" s="675">
        <v>10</v>
      </c>
      <c r="F105" s="675">
        <v>675</v>
      </c>
      <c r="G105" s="676">
        <v>0</v>
      </c>
      <c r="H105" s="676">
        <v>0</v>
      </c>
      <c r="I105" s="676">
        <v>227.04</v>
      </c>
      <c r="J105" s="676">
        <v>0</v>
      </c>
      <c r="K105" s="676">
        <v>0</v>
      </c>
      <c r="L105" s="676">
        <v>0</v>
      </c>
      <c r="M105" s="676">
        <v>0</v>
      </c>
      <c r="N105" s="666">
        <v>0</v>
      </c>
    </row>
    <row r="106" spans="1:14" ht="18.75" hidden="1">
      <c r="A106" s="674" t="s">
        <v>632</v>
      </c>
      <c r="B106" s="42" t="s">
        <v>347</v>
      </c>
      <c r="C106" s="42">
        <v>102675</v>
      </c>
      <c r="D106" s="42" t="s">
        <v>614</v>
      </c>
      <c r="E106" s="675">
        <v>10</v>
      </c>
      <c r="F106" s="675">
        <v>795</v>
      </c>
      <c r="G106" s="676">
        <v>30.5</v>
      </c>
      <c r="H106" s="676">
        <v>0</v>
      </c>
      <c r="I106" s="676">
        <v>0</v>
      </c>
      <c r="J106" s="676">
        <v>0</v>
      </c>
      <c r="K106" s="676">
        <v>0</v>
      </c>
      <c r="L106" s="676">
        <v>0</v>
      </c>
      <c r="M106" s="676">
        <v>9.5</v>
      </c>
      <c r="N106" s="666">
        <v>40</v>
      </c>
    </row>
    <row r="107" spans="1:14" ht="18.75" hidden="1">
      <c r="A107" s="674" t="s">
        <v>632</v>
      </c>
      <c r="B107" s="42" t="s">
        <v>347</v>
      </c>
      <c r="C107" s="42">
        <v>104502</v>
      </c>
      <c r="D107" s="42" t="s">
        <v>535</v>
      </c>
      <c r="E107" s="675">
        <v>10</v>
      </c>
      <c r="F107" s="675">
        <v>855</v>
      </c>
      <c r="G107" s="676">
        <v>560.98800000000006</v>
      </c>
      <c r="H107" s="676">
        <v>0</v>
      </c>
      <c r="I107" s="676">
        <v>2922.82</v>
      </c>
      <c r="J107" s="676">
        <v>0</v>
      </c>
      <c r="K107" s="676">
        <v>0</v>
      </c>
      <c r="L107" s="676">
        <v>1297.694</v>
      </c>
      <c r="M107" s="676">
        <v>302</v>
      </c>
      <c r="N107" s="666">
        <v>2160.6799999999998</v>
      </c>
    </row>
    <row r="108" spans="1:14" ht="18.75" hidden="1">
      <c r="A108" s="674" t="s">
        <v>632</v>
      </c>
      <c r="B108" s="42" t="s">
        <v>347</v>
      </c>
      <c r="C108" s="42">
        <v>104516</v>
      </c>
      <c r="D108" s="42" t="s">
        <v>537</v>
      </c>
      <c r="E108" s="675">
        <v>10</v>
      </c>
      <c r="F108" s="675">
        <v>885</v>
      </c>
      <c r="G108" s="676">
        <v>696.02</v>
      </c>
      <c r="H108" s="676">
        <v>0</v>
      </c>
      <c r="I108" s="676">
        <v>197.12</v>
      </c>
      <c r="J108" s="676">
        <v>0</v>
      </c>
      <c r="K108" s="676">
        <v>0</v>
      </c>
      <c r="L108" s="676">
        <v>0</v>
      </c>
      <c r="M108" s="676">
        <v>0</v>
      </c>
      <c r="N108" s="666">
        <v>696.02</v>
      </c>
    </row>
    <row r="109" spans="1:14" ht="18.75" hidden="1">
      <c r="A109" s="674" t="s">
        <v>632</v>
      </c>
      <c r="B109" s="42" t="s">
        <v>347</v>
      </c>
      <c r="C109" s="42">
        <v>102696</v>
      </c>
      <c r="D109" s="42" t="s">
        <v>421</v>
      </c>
      <c r="E109" s="675">
        <v>10</v>
      </c>
      <c r="F109" s="675">
        <v>915</v>
      </c>
      <c r="G109" s="676">
        <v>0</v>
      </c>
      <c r="H109" s="676">
        <v>0</v>
      </c>
      <c r="I109" s="676">
        <v>2474.1799999999998</v>
      </c>
      <c r="J109" s="676">
        <v>35</v>
      </c>
      <c r="K109" s="676">
        <v>465</v>
      </c>
      <c r="L109" s="676">
        <v>750.24</v>
      </c>
      <c r="M109" s="676">
        <v>0</v>
      </c>
      <c r="N109" s="666">
        <v>1215.24</v>
      </c>
    </row>
    <row r="110" spans="1:14" ht="18.75" hidden="1">
      <c r="A110" s="674" t="s">
        <v>632</v>
      </c>
      <c r="B110" s="42" t="s">
        <v>347</v>
      </c>
      <c r="C110" s="42">
        <v>102346</v>
      </c>
      <c r="D110" s="42" t="s">
        <v>609</v>
      </c>
      <c r="E110" s="675">
        <v>10</v>
      </c>
      <c r="F110" s="675">
        <v>920</v>
      </c>
      <c r="G110" s="676">
        <v>310.60000000000002</v>
      </c>
      <c r="H110" s="676">
        <v>0</v>
      </c>
      <c r="I110" s="676">
        <v>0</v>
      </c>
      <c r="J110" s="676">
        <v>0</v>
      </c>
      <c r="K110" s="676">
        <v>0</v>
      </c>
      <c r="L110" s="676">
        <v>0</v>
      </c>
      <c r="M110" s="676">
        <v>0</v>
      </c>
      <c r="N110" s="666">
        <v>310.60000000000002</v>
      </c>
    </row>
    <row r="111" spans="1:14" ht="18.75" hidden="1">
      <c r="A111" s="674" t="s">
        <v>632</v>
      </c>
      <c r="B111" s="42" t="s">
        <v>347</v>
      </c>
      <c r="C111" s="42">
        <v>104870</v>
      </c>
      <c r="D111" s="42" t="s">
        <v>617</v>
      </c>
      <c r="E111" s="675">
        <v>10</v>
      </c>
      <c r="F111" s="675">
        <v>925</v>
      </c>
      <c r="G111" s="676">
        <v>566.83000000000004</v>
      </c>
      <c r="H111" s="676">
        <v>0</v>
      </c>
      <c r="I111" s="676">
        <v>0</v>
      </c>
      <c r="J111" s="676">
        <v>0</v>
      </c>
      <c r="K111" s="676">
        <v>0</v>
      </c>
      <c r="L111" s="676">
        <v>0</v>
      </c>
      <c r="M111" s="676">
        <v>0</v>
      </c>
      <c r="N111" s="666">
        <v>566.83000000000004</v>
      </c>
    </row>
    <row r="112" spans="1:14" ht="18.75" hidden="1">
      <c r="A112" s="674" t="s">
        <v>632</v>
      </c>
      <c r="B112" s="42" t="s">
        <v>347</v>
      </c>
      <c r="C112" s="42">
        <v>105151</v>
      </c>
      <c r="D112" s="42" t="s">
        <v>731</v>
      </c>
      <c r="E112" s="675">
        <v>10</v>
      </c>
      <c r="F112" s="675">
        <v>935</v>
      </c>
      <c r="G112" s="676">
        <v>1420.16</v>
      </c>
      <c r="H112" s="676">
        <v>0</v>
      </c>
      <c r="I112" s="676">
        <v>0</v>
      </c>
      <c r="J112" s="676">
        <v>0</v>
      </c>
      <c r="K112" s="676">
        <v>0</v>
      </c>
      <c r="L112" s="676">
        <v>0</v>
      </c>
      <c r="M112" s="676">
        <v>0</v>
      </c>
      <c r="N112" s="666">
        <v>1420.16</v>
      </c>
    </row>
    <row r="113" spans="1:14" ht="18.75" hidden="1">
      <c r="A113" s="674" t="s">
        <v>632</v>
      </c>
      <c r="B113" s="42" t="s">
        <v>347</v>
      </c>
      <c r="C113" s="42">
        <v>102410</v>
      </c>
      <c r="D113" s="42" t="s">
        <v>543</v>
      </c>
      <c r="E113" s="675">
        <v>10</v>
      </c>
      <c r="F113" s="675">
        <v>945</v>
      </c>
      <c r="G113" s="676">
        <v>0</v>
      </c>
      <c r="H113" s="676">
        <v>0</v>
      </c>
      <c r="I113" s="676">
        <v>0</v>
      </c>
      <c r="J113" s="676">
        <v>70.77</v>
      </c>
      <c r="K113" s="676">
        <v>929.23</v>
      </c>
      <c r="L113" s="676">
        <v>0</v>
      </c>
      <c r="M113" s="676">
        <v>0</v>
      </c>
      <c r="N113" s="666">
        <v>929.23</v>
      </c>
    </row>
    <row r="114" spans="1:14" ht="18.75" hidden="1">
      <c r="A114" s="674" t="s">
        <v>632</v>
      </c>
      <c r="B114" s="42" t="s">
        <v>347</v>
      </c>
      <c r="C114" s="42">
        <v>102401</v>
      </c>
      <c r="D114" s="42" t="s">
        <v>493</v>
      </c>
      <c r="E114" s="675">
        <v>10</v>
      </c>
      <c r="F114" s="675">
        <v>975</v>
      </c>
      <c r="G114" s="676">
        <v>5994.88</v>
      </c>
      <c r="H114" s="676">
        <v>0</v>
      </c>
      <c r="I114" s="676">
        <v>4160.49</v>
      </c>
      <c r="J114" s="676">
        <v>2500</v>
      </c>
      <c r="K114" s="676">
        <v>0</v>
      </c>
      <c r="L114" s="676">
        <v>190</v>
      </c>
      <c r="M114" s="676">
        <v>0</v>
      </c>
      <c r="N114" s="666">
        <v>6184.88</v>
      </c>
    </row>
    <row r="115" spans="1:14" ht="18.75" hidden="1">
      <c r="A115" s="674" t="s">
        <v>632</v>
      </c>
      <c r="B115" s="42" t="s">
        <v>347</v>
      </c>
      <c r="C115" s="42">
        <v>102652</v>
      </c>
      <c r="D115" s="42" t="s">
        <v>544</v>
      </c>
      <c r="E115" s="675">
        <v>10</v>
      </c>
      <c r="F115" s="675">
        <v>990</v>
      </c>
      <c r="G115" s="676">
        <v>3935.3</v>
      </c>
      <c r="H115" s="676">
        <v>0</v>
      </c>
      <c r="I115" s="676">
        <v>379.8</v>
      </c>
      <c r="J115" s="676">
        <v>0</v>
      </c>
      <c r="K115" s="676">
        <v>0</v>
      </c>
      <c r="L115" s="676">
        <v>0</v>
      </c>
      <c r="M115" s="676">
        <v>0</v>
      </c>
      <c r="N115" s="666">
        <v>3935.3</v>
      </c>
    </row>
    <row r="116" spans="1:14" ht="18.75" hidden="1">
      <c r="A116" s="674" t="s">
        <v>632</v>
      </c>
      <c r="B116" s="42" t="s">
        <v>347</v>
      </c>
      <c r="C116" s="42">
        <v>100546</v>
      </c>
      <c r="D116" s="42" t="s">
        <v>610</v>
      </c>
      <c r="E116" s="675">
        <v>10</v>
      </c>
      <c r="F116" s="675">
        <v>995</v>
      </c>
      <c r="G116" s="676">
        <v>1187.94</v>
      </c>
      <c r="H116" s="676">
        <v>0</v>
      </c>
      <c r="I116" s="676">
        <v>0</v>
      </c>
      <c r="J116" s="676">
        <v>0</v>
      </c>
      <c r="K116" s="676">
        <v>0</v>
      </c>
      <c r="L116" s="676">
        <v>0</v>
      </c>
      <c r="M116" s="676">
        <v>0</v>
      </c>
      <c r="N116" s="666">
        <v>1187.94</v>
      </c>
    </row>
    <row r="117" spans="1:14" ht="18.75" hidden="1">
      <c r="A117" s="674" t="s">
        <v>632</v>
      </c>
      <c r="B117" s="42" t="s">
        <v>347</v>
      </c>
      <c r="C117" s="42">
        <v>100912</v>
      </c>
      <c r="D117" s="42" t="s">
        <v>412</v>
      </c>
      <c r="E117" s="675">
        <v>10</v>
      </c>
      <c r="F117" s="675">
        <v>995</v>
      </c>
      <c r="G117" s="676">
        <v>0</v>
      </c>
      <c r="H117" s="676">
        <v>0</v>
      </c>
      <c r="I117" s="676">
        <v>0</v>
      </c>
      <c r="J117" s="676">
        <v>0</v>
      </c>
      <c r="K117" s="676">
        <v>0</v>
      </c>
      <c r="L117" s="676">
        <v>217.8</v>
      </c>
      <c r="M117" s="676">
        <v>0</v>
      </c>
      <c r="N117" s="666">
        <v>217.8</v>
      </c>
    </row>
    <row r="118" spans="1:14" ht="18.75" hidden="1">
      <c r="A118" s="674" t="s">
        <v>632</v>
      </c>
      <c r="B118" s="42" t="s">
        <v>347</v>
      </c>
      <c r="C118" s="42">
        <v>104490</v>
      </c>
      <c r="D118" s="42" t="s">
        <v>528</v>
      </c>
      <c r="E118" s="675">
        <v>10</v>
      </c>
      <c r="F118" s="675">
        <v>1015</v>
      </c>
      <c r="G118" s="676">
        <v>3108.21</v>
      </c>
      <c r="H118" s="676">
        <v>0</v>
      </c>
      <c r="I118" s="676">
        <v>2086.2800000000002</v>
      </c>
      <c r="J118" s="676">
        <v>0</v>
      </c>
      <c r="K118" s="676">
        <v>0</v>
      </c>
      <c r="L118" s="676">
        <v>55.4</v>
      </c>
      <c r="M118" s="676">
        <v>0</v>
      </c>
      <c r="N118" s="666">
        <v>3163.61</v>
      </c>
    </row>
    <row r="119" spans="1:14" ht="18.75" hidden="1">
      <c r="A119" s="674" t="s">
        <v>632</v>
      </c>
      <c r="B119" s="42" t="s">
        <v>347</v>
      </c>
      <c r="C119" s="42">
        <v>105088</v>
      </c>
      <c r="D119" s="42" t="s">
        <v>695</v>
      </c>
      <c r="E119" s="675">
        <v>10</v>
      </c>
      <c r="F119" s="675">
        <v>1025</v>
      </c>
      <c r="G119" s="676">
        <v>2311.8200000000002</v>
      </c>
      <c r="H119" s="676">
        <v>0</v>
      </c>
      <c r="I119" s="676">
        <v>0</v>
      </c>
      <c r="J119" s="676">
        <v>0</v>
      </c>
      <c r="K119" s="676">
        <v>0</v>
      </c>
      <c r="L119" s="676">
        <v>0</v>
      </c>
      <c r="M119" s="676">
        <v>0</v>
      </c>
      <c r="N119" s="666">
        <v>2311.8200000000002</v>
      </c>
    </row>
    <row r="120" spans="1:14" ht="18.75" hidden="1">
      <c r="A120" s="674" t="s">
        <v>632</v>
      </c>
      <c r="B120" s="42" t="s">
        <v>347</v>
      </c>
      <c r="C120" s="42">
        <v>103907</v>
      </c>
      <c r="D120" s="42" t="s">
        <v>489</v>
      </c>
      <c r="E120" s="675">
        <v>10</v>
      </c>
      <c r="F120" s="675">
        <v>1035</v>
      </c>
      <c r="G120" s="676">
        <v>1044.6199999999999</v>
      </c>
      <c r="H120" s="676">
        <v>0</v>
      </c>
      <c r="I120" s="676">
        <v>12888.152</v>
      </c>
      <c r="J120" s="676">
        <v>0</v>
      </c>
      <c r="K120" s="676">
        <v>0</v>
      </c>
      <c r="L120" s="676">
        <v>278</v>
      </c>
      <c r="M120" s="676">
        <v>0</v>
      </c>
      <c r="N120" s="666">
        <v>1322.62</v>
      </c>
    </row>
    <row r="121" spans="1:14" ht="18.75" hidden="1">
      <c r="A121" s="674" t="s">
        <v>632</v>
      </c>
      <c r="B121" s="42" t="s">
        <v>347</v>
      </c>
      <c r="C121" s="42">
        <v>104515</v>
      </c>
      <c r="D121" s="42" t="s">
        <v>538</v>
      </c>
      <c r="E121" s="675">
        <v>10</v>
      </c>
      <c r="F121" s="675">
        <v>1040</v>
      </c>
      <c r="G121" s="676">
        <v>2278.29</v>
      </c>
      <c r="H121" s="676">
        <v>94</v>
      </c>
      <c r="I121" s="676">
        <v>502.85</v>
      </c>
      <c r="J121" s="676">
        <v>0</v>
      </c>
      <c r="K121" s="676">
        <v>0</v>
      </c>
      <c r="L121" s="676">
        <v>708.25</v>
      </c>
      <c r="M121" s="676">
        <v>0</v>
      </c>
      <c r="N121" s="666">
        <v>3080.54</v>
      </c>
    </row>
    <row r="122" spans="1:14" ht="18.75" hidden="1">
      <c r="A122" s="674" t="s">
        <v>632</v>
      </c>
      <c r="B122" s="42" t="s">
        <v>347</v>
      </c>
      <c r="C122" s="42">
        <v>104199</v>
      </c>
      <c r="D122" s="42" t="s">
        <v>505</v>
      </c>
      <c r="E122" s="675">
        <v>10</v>
      </c>
      <c r="F122" s="675">
        <v>1047</v>
      </c>
      <c r="G122" s="676">
        <v>23881.855</v>
      </c>
      <c r="H122" s="676">
        <v>335</v>
      </c>
      <c r="I122" s="676">
        <v>9485.116</v>
      </c>
      <c r="J122" s="676">
        <v>0</v>
      </c>
      <c r="K122" s="676">
        <v>0</v>
      </c>
      <c r="L122" s="676">
        <v>0</v>
      </c>
      <c r="M122" s="676">
        <v>0</v>
      </c>
      <c r="N122" s="666">
        <v>24216.86</v>
      </c>
    </row>
    <row r="123" spans="1:14" ht="18.75" hidden="1">
      <c r="A123" s="674" t="s">
        <v>632</v>
      </c>
      <c r="B123" s="42" t="s">
        <v>347</v>
      </c>
      <c r="C123" s="42">
        <v>105112</v>
      </c>
      <c r="D123" s="42" t="s">
        <v>714</v>
      </c>
      <c r="E123" s="675">
        <v>10</v>
      </c>
      <c r="F123" s="675">
        <v>1065</v>
      </c>
      <c r="G123" s="676">
        <v>2333.2800000000002</v>
      </c>
      <c r="H123" s="676">
        <v>0</v>
      </c>
      <c r="I123" s="676">
        <v>818.84</v>
      </c>
      <c r="J123" s="676">
        <v>0</v>
      </c>
      <c r="K123" s="676">
        <v>0</v>
      </c>
      <c r="L123" s="676">
        <v>0</v>
      </c>
      <c r="M123" s="676">
        <v>264</v>
      </c>
      <c r="N123" s="666">
        <v>2597.2800000000002</v>
      </c>
    </row>
    <row r="124" spans="1:14" ht="18.75" hidden="1">
      <c r="A124" s="674" t="s">
        <v>632</v>
      </c>
      <c r="B124" s="42" t="s">
        <v>347</v>
      </c>
      <c r="C124" s="42">
        <v>104961</v>
      </c>
      <c r="D124" s="42" t="s">
        <v>683</v>
      </c>
      <c r="E124" s="675">
        <v>10</v>
      </c>
      <c r="F124" s="675">
        <v>1071</v>
      </c>
      <c r="G124" s="676">
        <v>2986.85</v>
      </c>
      <c r="H124" s="676">
        <v>0</v>
      </c>
      <c r="I124" s="676">
        <v>0</v>
      </c>
      <c r="J124" s="676">
        <v>0</v>
      </c>
      <c r="K124" s="676">
        <v>0</v>
      </c>
      <c r="L124" s="676">
        <v>0</v>
      </c>
      <c r="M124" s="676">
        <v>0</v>
      </c>
      <c r="N124" s="666">
        <v>2986.85</v>
      </c>
    </row>
    <row r="125" spans="1:14" ht="18.75" hidden="1">
      <c r="A125" s="674" t="s">
        <v>632</v>
      </c>
      <c r="B125" s="42" t="s">
        <v>347</v>
      </c>
      <c r="C125" s="42">
        <v>104706</v>
      </c>
      <c r="D125" s="42" t="s">
        <v>575</v>
      </c>
      <c r="E125" s="675">
        <v>10</v>
      </c>
      <c r="F125" s="675">
        <v>1075</v>
      </c>
      <c r="G125" s="676">
        <v>2517.7199999999998</v>
      </c>
      <c r="H125" s="676">
        <v>0</v>
      </c>
      <c r="I125" s="676">
        <v>624.17999999999995</v>
      </c>
      <c r="J125" s="676">
        <v>0</v>
      </c>
      <c r="K125" s="676">
        <v>0</v>
      </c>
      <c r="L125" s="676">
        <v>186.6</v>
      </c>
      <c r="M125" s="676">
        <v>0</v>
      </c>
      <c r="N125" s="666">
        <v>2704.32</v>
      </c>
    </row>
    <row r="126" spans="1:14" ht="18.75" hidden="1">
      <c r="A126" s="674" t="s">
        <v>632</v>
      </c>
      <c r="B126" s="42" t="s">
        <v>347</v>
      </c>
      <c r="C126" s="42">
        <v>104715</v>
      </c>
      <c r="D126" s="42" t="s">
        <v>579</v>
      </c>
      <c r="E126" s="675">
        <v>10</v>
      </c>
      <c r="F126" s="675">
        <v>1095</v>
      </c>
      <c r="G126" s="676">
        <v>3459.82</v>
      </c>
      <c r="H126" s="676">
        <v>0</v>
      </c>
      <c r="I126" s="676">
        <v>256.3</v>
      </c>
      <c r="J126" s="676">
        <v>0</v>
      </c>
      <c r="K126" s="676">
        <v>0</v>
      </c>
      <c r="L126" s="676">
        <v>0</v>
      </c>
      <c r="M126" s="676">
        <v>0</v>
      </c>
      <c r="N126" s="666">
        <v>3459.82</v>
      </c>
    </row>
    <row r="127" spans="1:14" ht="18.75" hidden="1">
      <c r="A127" s="674" t="s">
        <v>632</v>
      </c>
      <c r="B127" s="42" t="s">
        <v>347</v>
      </c>
      <c r="C127" s="42">
        <v>105111</v>
      </c>
      <c r="D127" s="42" t="s">
        <v>715</v>
      </c>
      <c r="E127" s="675">
        <v>10</v>
      </c>
      <c r="F127" s="675">
        <v>1099</v>
      </c>
      <c r="G127" s="676">
        <v>3356.16</v>
      </c>
      <c r="H127" s="676">
        <v>0</v>
      </c>
      <c r="I127" s="676">
        <v>0</v>
      </c>
      <c r="J127" s="676">
        <v>0</v>
      </c>
      <c r="K127" s="676">
        <v>0</v>
      </c>
      <c r="L127" s="676">
        <v>0</v>
      </c>
      <c r="M127" s="676">
        <v>0</v>
      </c>
      <c r="N127" s="666">
        <v>3356.16</v>
      </c>
    </row>
    <row r="128" spans="1:14" ht="18.75" hidden="1">
      <c r="A128" s="674" t="s">
        <v>632</v>
      </c>
      <c r="B128" s="42" t="s">
        <v>347</v>
      </c>
      <c r="C128" s="42">
        <v>102179</v>
      </c>
      <c r="D128" s="42" t="s">
        <v>611</v>
      </c>
      <c r="E128" s="675">
        <v>10</v>
      </c>
      <c r="F128" s="675">
        <v>1115</v>
      </c>
      <c r="G128" s="676">
        <v>1101.74</v>
      </c>
      <c r="H128" s="676">
        <v>0</v>
      </c>
      <c r="I128" s="676">
        <v>120.47</v>
      </c>
      <c r="J128" s="676">
        <v>0</v>
      </c>
      <c r="K128" s="676">
        <v>0</v>
      </c>
      <c r="L128" s="676">
        <v>0</v>
      </c>
      <c r="M128" s="676">
        <v>0</v>
      </c>
      <c r="N128" s="666">
        <v>1101.74</v>
      </c>
    </row>
    <row r="129" spans="1:14" ht="18.75" hidden="1">
      <c r="A129" s="674" t="s">
        <v>632</v>
      </c>
      <c r="B129" s="42" t="s">
        <v>347</v>
      </c>
      <c r="C129" s="42">
        <v>103714</v>
      </c>
      <c r="D129" s="42" t="s">
        <v>529</v>
      </c>
      <c r="E129" s="675">
        <v>10</v>
      </c>
      <c r="F129" s="675">
        <v>1115</v>
      </c>
      <c r="G129" s="676">
        <v>571.01</v>
      </c>
      <c r="H129" s="676">
        <v>0</v>
      </c>
      <c r="I129" s="676">
        <v>7924.1949999999997</v>
      </c>
      <c r="J129" s="676">
        <v>0</v>
      </c>
      <c r="K129" s="676">
        <v>0</v>
      </c>
      <c r="L129" s="676">
        <v>822.81</v>
      </c>
      <c r="M129" s="676">
        <v>0</v>
      </c>
      <c r="N129" s="666">
        <v>1393.82</v>
      </c>
    </row>
    <row r="130" spans="1:14" ht="18.75" hidden="1">
      <c r="A130" s="674" t="s">
        <v>632</v>
      </c>
      <c r="B130" s="42" t="s">
        <v>347</v>
      </c>
      <c r="C130" s="42">
        <v>104523</v>
      </c>
      <c r="D130" s="42" t="s">
        <v>545</v>
      </c>
      <c r="E130" s="675">
        <v>10</v>
      </c>
      <c r="F130" s="675">
        <v>1125</v>
      </c>
      <c r="G130" s="676">
        <v>2116.5100000000002</v>
      </c>
      <c r="H130" s="676">
        <v>0</v>
      </c>
      <c r="I130" s="676">
        <v>253.27</v>
      </c>
      <c r="J130" s="676">
        <v>0</v>
      </c>
      <c r="K130" s="676">
        <v>555.72</v>
      </c>
      <c r="L130" s="676">
        <v>0</v>
      </c>
      <c r="M130" s="676">
        <v>0</v>
      </c>
      <c r="N130" s="666">
        <v>2672.23</v>
      </c>
    </row>
    <row r="131" spans="1:14" ht="18.75" hidden="1">
      <c r="A131" s="674" t="s">
        <v>632</v>
      </c>
      <c r="B131" s="42" t="s">
        <v>347</v>
      </c>
      <c r="C131" s="42">
        <v>102916</v>
      </c>
      <c r="D131" s="42" t="s">
        <v>422</v>
      </c>
      <c r="E131" s="675">
        <v>10</v>
      </c>
      <c r="F131" s="675">
        <v>1135</v>
      </c>
      <c r="G131" s="676">
        <v>0</v>
      </c>
      <c r="H131" s="676">
        <v>0</v>
      </c>
      <c r="I131" s="676">
        <v>3409.59</v>
      </c>
      <c r="J131" s="676">
        <v>0</v>
      </c>
      <c r="K131" s="676">
        <v>0</v>
      </c>
      <c r="L131" s="676">
        <v>0</v>
      </c>
      <c r="M131" s="676">
        <v>27.9</v>
      </c>
      <c r="N131" s="666">
        <v>27.9</v>
      </c>
    </row>
    <row r="132" spans="1:14" ht="18.75" hidden="1">
      <c r="A132" s="674" t="s">
        <v>632</v>
      </c>
      <c r="B132" s="42" t="s">
        <v>347</v>
      </c>
      <c r="C132" s="42">
        <v>104489</v>
      </c>
      <c r="D132" s="42" t="s">
        <v>530</v>
      </c>
      <c r="E132" s="675">
        <v>10</v>
      </c>
      <c r="F132" s="675">
        <v>1155</v>
      </c>
      <c r="G132" s="676">
        <v>1737.3879999999999</v>
      </c>
      <c r="H132" s="676">
        <v>0</v>
      </c>
      <c r="I132" s="676">
        <v>5669.2160000000003</v>
      </c>
      <c r="J132" s="676">
        <v>0</v>
      </c>
      <c r="K132" s="676">
        <v>0</v>
      </c>
      <c r="L132" s="676">
        <v>234</v>
      </c>
      <c r="M132" s="676">
        <v>0</v>
      </c>
      <c r="N132" s="666">
        <v>1971.39</v>
      </c>
    </row>
    <row r="133" spans="1:14" ht="18.75" hidden="1">
      <c r="A133" s="674" t="s">
        <v>632</v>
      </c>
      <c r="B133" s="42" t="s">
        <v>347</v>
      </c>
      <c r="C133" s="42">
        <v>105150</v>
      </c>
      <c r="D133" s="42" t="s">
        <v>732</v>
      </c>
      <c r="E133" s="675">
        <v>10</v>
      </c>
      <c r="F133" s="675">
        <v>1165</v>
      </c>
      <c r="G133" s="676">
        <v>0</v>
      </c>
      <c r="H133" s="676">
        <v>0</v>
      </c>
      <c r="I133" s="676">
        <v>312</v>
      </c>
      <c r="J133" s="676">
        <v>0</v>
      </c>
      <c r="K133" s="676">
        <v>0</v>
      </c>
      <c r="L133" s="676">
        <v>0</v>
      </c>
      <c r="M133" s="676">
        <v>0</v>
      </c>
      <c r="N133" s="666">
        <v>0</v>
      </c>
    </row>
    <row r="134" spans="1:14" ht="18.75">
      <c r="A134" s="674" t="s">
        <v>632</v>
      </c>
      <c r="B134" s="42" t="s">
        <v>347</v>
      </c>
      <c r="C134" s="42">
        <v>105124</v>
      </c>
      <c r="D134" s="42" t="s">
        <v>720</v>
      </c>
      <c r="E134" s="675">
        <v>10</v>
      </c>
      <c r="F134" s="675">
        <v>1175</v>
      </c>
      <c r="G134" s="676">
        <v>5205.76</v>
      </c>
      <c r="H134" s="676">
        <v>0</v>
      </c>
      <c r="I134" s="676">
        <v>1929.81</v>
      </c>
      <c r="J134" s="676">
        <v>0</v>
      </c>
      <c r="K134" s="676">
        <v>0</v>
      </c>
      <c r="L134" s="676">
        <v>0</v>
      </c>
      <c r="M134" s="676">
        <v>0</v>
      </c>
      <c r="N134" s="666">
        <v>5205.76</v>
      </c>
    </row>
    <row r="135" spans="1:14" ht="18.75" hidden="1">
      <c r="A135" s="674" t="s">
        <v>632</v>
      </c>
      <c r="B135" s="42" t="s">
        <v>347</v>
      </c>
      <c r="C135" s="42">
        <v>102785</v>
      </c>
      <c r="D135" s="42" t="s">
        <v>580</v>
      </c>
      <c r="E135" s="675">
        <v>10</v>
      </c>
      <c r="F135" s="675">
        <v>1190</v>
      </c>
      <c r="G135" s="676">
        <v>0</v>
      </c>
      <c r="H135" s="676">
        <v>0</v>
      </c>
      <c r="I135" s="676">
        <v>0</v>
      </c>
      <c r="J135" s="676">
        <v>0</v>
      </c>
      <c r="K135" s="676">
        <v>0</v>
      </c>
      <c r="L135" s="676">
        <v>70</v>
      </c>
      <c r="M135" s="676">
        <v>0</v>
      </c>
      <c r="N135" s="666">
        <v>70</v>
      </c>
    </row>
    <row r="136" spans="1:14" ht="18.75" hidden="1">
      <c r="A136" s="674" t="s">
        <v>632</v>
      </c>
      <c r="B136" s="42" t="s">
        <v>347</v>
      </c>
      <c r="C136" s="42">
        <v>105099</v>
      </c>
      <c r="D136" s="42" t="s">
        <v>705</v>
      </c>
      <c r="E136" s="675">
        <v>10</v>
      </c>
      <c r="F136" s="675">
        <v>1215</v>
      </c>
      <c r="G136" s="676">
        <v>3149.55</v>
      </c>
      <c r="H136" s="676">
        <v>0</v>
      </c>
      <c r="I136" s="676">
        <v>557.21</v>
      </c>
      <c r="J136" s="676">
        <v>0</v>
      </c>
      <c r="K136" s="676">
        <v>0</v>
      </c>
      <c r="L136" s="676">
        <v>0</v>
      </c>
      <c r="M136" s="676">
        <v>0</v>
      </c>
      <c r="N136" s="666">
        <v>3149.55</v>
      </c>
    </row>
    <row r="137" spans="1:14" ht="18.75" hidden="1">
      <c r="A137" s="674" t="s">
        <v>632</v>
      </c>
      <c r="B137" s="42" t="s">
        <v>347</v>
      </c>
      <c r="C137" s="42">
        <v>104678</v>
      </c>
      <c r="D137" s="42" t="s">
        <v>573</v>
      </c>
      <c r="E137" s="675">
        <v>10</v>
      </c>
      <c r="F137" s="675">
        <v>1240</v>
      </c>
      <c r="G137" s="676">
        <v>53656.65</v>
      </c>
      <c r="H137" s="676">
        <v>0</v>
      </c>
      <c r="I137" s="676">
        <v>33428.339999999997</v>
      </c>
      <c r="J137" s="676">
        <v>0</v>
      </c>
      <c r="K137" s="676">
        <v>0</v>
      </c>
      <c r="L137" s="676">
        <v>0</v>
      </c>
      <c r="M137" s="676">
        <v>0</v>
      </c>
      <c r="N137" s="666">
        <v>53656.65</v>
      </c>
    </row>
    <row r="138" spans="1:14" ht="18.75" hidden="1">
      <c r="A138" s="674" t="s">
        <v>632</v>
      </c>
      <c r="B138" s="42" t="s">
        <v>347</v>
      </c>
      <c r="C138" s="42">
        <v>103117</v>
      </c>
      <c r="D138" s="42" t="s">
        <v>676</v>
      </c>
      <c r="E138" s="675">
        <v>12</v>
      </c>
      <c r="F138" s="675">
        <v>530</v>
      </c>
      <c r="G138" s="676">
        <v>0</v>
      </c>
      <c r="H138" s="676">
        <v>0</v>
      </c>
      <c r="I138" s="676">
        <v>0</v>
      </c>
      <c r="J138" s="676">
        <v>0</v>
      </c>
      <c r="K138" s="676">
        <v>0</v>
      </c>
      <c r="L138" s="676">
        <v>0</v>
      </c>
      <c r="M138" s="676">
        <v>111</v>
      </c>
      <c r="N138" s="666">
        <v>111</v>
      </c>
    </row>
    <row r="139" spans="1:14" ht="18.75" hidden="1">
      <c r="A139" s="674" t="s">
        <v>632</v>
      </c>
      <c r="B139" s="42" t="s">
        <v>347</v>
      </c>
      <c r="C139" s="42">
        <v>103457</v>
      </c>
      <c r="D139" s="42" t="s">
        <v>510</v>
      </c>
      <c r="E139" s="675">
        <v>12</v>
      </c>
      <c r="F139" s="675">
        <v>855</v>
      </c>
      <c r="G139" s="676">
        <v>0</v>
      </c>
      <c r="H139" s="676">
        <v>0</v>
      </c>
      <c r="I139" s="676">
        <v>0</v>
      </c>
      <c r="J139" s="676">
        <v>0</v>
      </c>
      <c r="K139" s="676">
        <v>0</v>
      </c>
      <c r="L139" s="676">
        <v>10</v>
      </c>
      <c r="M139" s="676">
        <v>0</v>
      </c>
      <c r="N139" s="666">
        <v>10</v>
      </c>
    </row>
    <row r="140" spans="1:14" ht="18.75" hidden="1">
      <c r="A140" s="674" t="s">
        <v>632</v>
      </c>
      <c r="B140" s="42" t="s">
        <v>347</v>
      </c>
      <c r="C140" s="42">
        <v>104370</v>
      </c>
      <c r="D140" s="42" t="s">
        <v>517</v>
      </c>
      <c r="E140" s="675">
        <v>12</v>
      </c>
      <c r="F140" s="675">
        <v>860</v>
      </c>
      <c r="G140" s="676">
        <v>0</v>
      </c>
      <c r="H140" s="676">
        <v>0</v>
      </c>
      <c r="I140" s="676">
        <v>0</v>
      </c>
      <c r="J140" s="676">
        <v>0</v>
      </c>
      <c r="K140" s="676">
        <v>0</v>
      </c>
      <c r="L140" s="676">
        <v>31.2</v>
      </c>
      <c r="M140" s="676">
        <v>0</v>
      </c>
      <c r="N140" s="666">
        <v>31.2</v>
      </c>
    </row>
    <row r="141" spans="1:14" ht="18.75" hidden="1">
      <c r="A141" s="674" t="s">
        <v>632</v>
      </c>
      <c r="B141" s="42" t="s">
        <v>347</v>
      </c>
      <c r="C141" s="42">
        <v>103345</v>
      </c>
      <c r="D141" s="42" t="s">
        <v>477</v>
      </c>
      <c r="E141" s="675">
        <v>12</v>
      </c>
      <c r="F141" s="675">
        <v>885</v>
      </c>
      <c r="G141" s="676">
        <v>0</v>
      </c>
      <c r="H141" s="676">
        <v>0</v>
      </c>
      <c r="I141" s="676">
        <v>0</v>
      </c>
      <c r="J141" s="676">
        <v>0</v>
      </c>
      <c r="K141" s="676">
        <v>0</v>
      </c>
      <c r="L141" s="676">
        <v>10</v>
      </c>
      <c r="M141" s="676">
        <v>0</v>
      </c>
      <c r="N141" s="666">
        <v>10</v>
      </c>
    </row>
    <row r="142" spans="1:14" ht="18.75" hidden="1">
      <c r="A142" s="674" t="s">
        <v>632</v>
      </c>
      <c r="B142" s="42" t="s">
        <v>347</v>
      </c>
      <c r="C142" s="42">
        <v>104974</v>
      </c>
      <c r="D142" s="42" t="s">
        <v>662</v>
      </c>
      <c r="E142" s="675">
        <v>12</v>
      </c>
      <c r="F142" s="675">
        <v>990</v>
      </c>
      <c r="G142" s="676">
        <v>0</v>
      </c>
      <c r="H142" s="676">
        <v>0</v>
      </c>
      <c r="I142" s="676">
        <v>0</v>
      </c>
      <c r="J142" s="676">
        <v>3500</v>
      </c>
      <c r="K142" s="676">
        <v>0</v>
      </c>
      <c r="L142" s="676">
        <v>0</v>
      </c>
      <c r="M142" s="676">
        <v>21</v>
      </c>
      <c r="N142" s="666">
        <v>21</v>
      </c>
    </row>
    <row r="143" spans="1:14" ht="18.75" hidden="1">
      <c r="A143" s="674" t="s">
        <v>632</v>
      </c>
      <c r="B143" s="42" t="s">
        <v>347</v>
      </c>
      <c r="C143" s="42">
        <v>104930</v>
      </c>
      <c r="D143" s="42" t="s">
        <v>651</v>
      </c>
      <c r="E143" s="675">
        <v>12</v>
      </c>
      <c r="F143" s="675">
        <v>1007</v>
      </c>
      <c r="G143" s="676">
        <v>5541.32</v>
      </c>
      <c r="H143" s="676">
        <v>0</v>
      </c>
      <c r="I143" s="676">
        <v>527.19000000000005</v>
      </c>
      <c r="J143" s="676">
        <v>147.59</v>
      </c>
      <c r="K143" s="676">
        <v>0</v>
      </c>
      <c r="L143" s="676">
        <v>0</v>
      </c>
      <c r="M143" s="676">
        <v>162.5</v>
      </c>
      <c r="N143" s="666">
        <v>5703.82</v>
      </c>
    </row>
    <row r="144" spans="1:14" ht="18.75" hidden="1">
      <c r="A144" s="674" t="s">
        <v>632</v>
      </c>
      <c r="B144" s="42" t="s">
        <v>347</v>
      </c>
      <c r="C144" s="42">
        <v>103038</v>
      </c>
      <c r="D144" s="42" t="s">
        <v>753</v>
      </c>
      <c r="E144" s="675">
        <v>12</v>
      </c>
      <c r="F144" s="675">
        <v>1055</v>
      </c>
      <c r="G144" s="676">
        <v>954.87</v>
      </c>
      <c r="H144" s="676">
        <v>0</v>
      </c>
      <c r="I144" s="676">
        <v>0</v>
      </c>
      <c r="J144" s="676">
        <v>0</v>
      </c>
      <c r="K144" s="676">
        <v>0</v>
      </c>
      <c r="L144" s="676">
        <v>0</v>
      </c>
      <c r="M144" s="676">
        <v>0</v>
      </c>
      <c r="N144" s="666">
        <v>954.87</v>
      </c>
    </row>
    <row r="145" spans="1:14" ht="18.75" hidden="1">
      <c r="A145" s="674" t="s">
        <v>632</v>
      </c>
      <c r="B145" s="42" t="s">
        <v>347</v>
      </c>
      <c r="C145" s="42">
        <v>104859</v>
      </c>
      <c r="D145" s="42" t="s">
        <v>613</v>
      </c>
      <c r="E145" s="675">
        <v>12</v>
      </c>
      <c r="F145" s="675">
        <v>1065</v>
      </c>
      <c r="G145" s="676">
        <v>142.6</v>
      </c>
      <c r="H145" s="676">
        <v>0</v>
      </c>
      <c r="I145" s="676">
        <v>0</v>
      </c>
      <c r="J145" s="676">
        <v>0</v>
      </c>
      <c r="K145" s="676">
        <v>0</v>
      </c>
      <c r="L145" s="676">
        <v>0</v>
      </c>
      <c r="M145" s="676">
        <v>0</v>
      </c>
      <c r="N145" s="666">
        <v>142.6</v>
      </c>
    </row>
    <row r="146" spans="1:14" ht="18.75" hidden="1">
      <c r="A146" s="674" t="s">
        <v>632</v>
      </c>
      <c r="B146" s="42" t="s">
        <v>347</v>
      </c>
      <c r="C146" s="42">
        <v>103778</v>
      </c>
      <c r="D146" s="42" t="s">
        <v>754</v>
      </c>
      <c r="E146" s="675">
        <v>12</v>
      </c>
      <c r="F146" s="675">
        <v>1095</v>
      </c>
      <c r="G146" s="676">
        <v>1308.44</v>
      </c>
      <c r="H146" s="676">
        <v>0</v>
      </c>
      <c r="I146" s="676">
        <v>0</v>
      </c>
      <c r="J146" s="676">
        <v>0</v>
      </c>
      <c r="K146" s="676">
        <v>0</v>
      </c>
      <c r="L146" s="676">
        <v>0</v>
      </c>
      <c r="M146" s="676">
        <v>0</v>
      </c>
      <c r="N146" s="666">
        <v>1308.44</v>
      </c>
    </row>
    <row r="147" spans="1:14" ht="18.75" hidden="1">
      <c r="A147" s="674" t="s">
        <v>632</v>
      </c>
      <c r="B147" s="42" t="s">
        <v>347</v>
      </c>
      <c r="C147" s="42">
        <v>102402</v>
      </c>
      <c r="D147" s="42" t="s">
        <v>388</v>
      </c>
      <c r="E147" s="675">
        <v>12</v>
      </c>
      <c r="F147" s="675">
        <v>1115</v>
      </c>
      <c r="G147" s="676">
        <v>0</v>
      </c>
      <c r="H147" s="676">
        <v>0</v>
      </c>
      <c r="I147" s="676">
        <v>0</v>
      </c>
      <c r="J147" s="676">
        <v>0</v>
      </c>
      <c r="K147" s="676">
        <v>0</v>
      </c>
      <c r="L147" s="676">
        <v>0</v>
      </c>
      <c r="M147" s="676">
        <v>78</v>
      </c>
      <c r="N147" s="666">
        <v>78</v>
      </c>
    </row>
    <row r="148" spans="1:14" ht="18.75" hidden="1">
      <c r="A148" s="674" t="s">
        <v>632</v>
      </c>
      <c r="B148" s="42" t="s">
        <v>347</v>
      </c>
      <c r="C148" s="42">
        <v>103446</v>
      </c>
      <c r="D148" s="42" t="s">
        <v>612</v>
      </c>
      <c r="E148" s="675">
        <v>12</v>
      </c>
      <c r="F148" s="675">
        <v>1115</v>
      </c>
      <c r="G148" s="676">
        <v>1887.59</v>
      </c>
      <c r="H148" s="676">
        <v>0</v>
      </c>
      <c r="I148" s="676">
        <v>0</v>
      </c>
      <c r="J148" s="676">
        <v>0</v>
      </c>
      <c r="K148" s="676">
        <v>0</v>
      </c>
      <c r="L148" s="676">
        <v>0</v>
      </c>
      <c r="M148" s="676">
        <v>0</v>
      </c>
      <c r="N148" s="666">
        <v>1887.59</v>
      </c>
    </row>
    <row r="149" spans="1:14" ht="18.75" hidden="1">
      <c r="A149" s="674" t="s">
        <v>632</v>
      </c>
      <c r="B149" s="42" t="s">
        <v>347</v>
      </c>
      <c r="C149" s="42">
        <v>102470</v>
      </c>
      <c r="D149" s="42" t="s">
        <v>395</v>
      </c>
      <c r="E149" s="675">
        <v>12</v>
      </c>
      <c r="F149" s="675">
        <v>1135</v>
      </c>
      <c r="G149" s="676">
        <v>0</v>
      </c>
      <c r="H149" s="676">
        <v>0</v>
      </c>
      <c r="I149" s="676">
        <v>0</v>
      </c>
      <c r="J149" s="676">
        <v>0</v>
      </c>
      <c r="K149" s="676">
        <v>0</v>
      </c>
      <c r="L149" s="676">
        <v>68</v>
      </c>
      <c r="M149" s="676">
        <v>0</v>
      </c>
      <c r="N149" s="666">
        <v>68</v>
      </c>
    </row>
    <row r="150" spans="1:14" ht="18.75" hidden="1">
      <c r="A150" s="674" t="s">
        <v>632</v>
      </c>
      <c r="B150" s="42" t="s">
        <v>347</v>
      </c>
      <c r="C150" s="42">
        <v>102419</v>
      </c>
      <c r="D150" s="42" t="s">
        <v>390</v>
      </c>
      <c r="E150" s="675">
        <v>12</v>
      </c>
      <c r="F150" s="675">
        <v>1155</v>
      </c>
      <c r="G150" s="676">
        <v>74</v>
      </c>
      <c r="H150" s="676">
        <v>0</v>
      </c>
      <c r="I150" s="676">
        <v>0</v>
      </c>
      <c r="J150" s="676">
        <v>0</v>
      </c>
      <c r="K150" s="676">
        <v>0</v>
      </c>
      <c r="L150" s="676">
        <v>0</v>
      </c>
      <c r="M150" s="676">
        <v>0</v>
      </c>
      <c r="N150" s="666">
        <v>74</v>
      </c>
    </row>
    <row r="151" spans="1:14" ht="18.75" hidden="1">
      <c r="A151" s="674" t="s">
        <v>632</v>
      </c>
      <c r="B151" s="42" t="s">
        <v>347</v>
      </c>
      <c r="C151" s="42">
        <v>105064</v>
      </c>
      <c r="D151" s="42" t="s">
        <v>691</v>
      </c>
      <c r="E151" s="675">
        <v>12</v>
      </c>
      <c r="F151" s="675">
        <v>1158</v>
      </c>
      <c r="G151" s="676">
        <v>307.60000000000002</v>
      </c>
      <c r="H151" s="676">
        <v>0</v>
      </c>
      <c r="I151" s="676">
        <v>1133.5999999999999</v>
      </c>
      <c r="J151" s="676">
        <v>0</v>
      </c>
      <c r="K151" s="676">
        <v>0</v>
      </c>
      <c r="L151" s="676">
        <v>12</v>
      </c>
      <c r="M151" s="676">
        <v>0</v>
      </c>
      <c r="N151" s="666">
        <v>319.60000000000002</v>
      </c>
    </row>
    <row r="152" spans="1:14" ht="18.75" hidden="1">
      <c r="A152" s="674" t="s">
        <v>632</v>
      </c>
      <c r="B152" s="42" t="s">
        <v>347</v>
      </c>
      <c r="C152" s="42">
        <v>102840</v>
      </c>
      <c r="D152" s="42" t="s">
        <v>503</v>
      </c>
      <c r="E152" s="675">
        <v>12</v>
      </c>
      <c r="F152" s="675">
        <v>1190</v>
      </c>
      <c r="G152" s="676">
        <v>4476.74</v>
      </c>
      <c r="H152" s="676">
        <v>0</v>
      </c>
      <c r="I152" s="676">
        <v>0</v>
      </c>
      <c r="J152" s="676">
        <v>0</v>
      </c>
      <c r="K152" s="676">
        <v>0</v>
      </c>
      <c r="L152" s="676">
        <v>0</v>
      </c>
      <c r="M152" s="676">
        <v>0</v>
      </c>
      <c r="N152" s="666">
        <v>4476.74</v>
      </c>
    </row>
    <row r="153" spans="1:14" ht="18.75" hidden="1">
      <c r="A153" s="674" t="s">
        <v>632</v>
      </c>
      <c r="B153" s="42" t="s">
        <v>347</v>
      </c>
      <c r="C153" s="42">
        <v>103430</v>
      </c>
      <c r="D153" s="42" t="s">
        <v>564</v>
      </c>
      <c r="E153" s="675">
        <v>12</v>
      </c>
      <c r="F153" s="675">
        <v>1215</v>
      </c>
      <c r="G153" s="676">
        <v>2235.5320000000002</v>
      </c>
      <c r="H153" s="676">
        <v>0</v>
      </c>
      <c r="I153" s="676">
        <v>4963.75</v>
      </c>
      <c r="J153" s="676">
        <v>0</v>
      </c>
      <c r="K153" s="676">
        <v>0</v>
      </c>
      <c r="L153" s="676">
        <v>832.51</v>
      </c>
      <c r="M153" s="676">
        <v>0</v>
      </c>
      <c r="N153" s="666">
        <v>3068.04</v>
      </c>
    </row>
    <row r="154" spans="1:14" ht="18.75" hidden="1">
      <c r="A154" s="674" t="s">
        <v>632</v>
      </c>
      <c r="B154" s="42" t="s">
        <v>348</v>
      </c>
      <c r="C154" s="42">
        <v>105081</v>
      </c>
      <c r="D154" s="42" t="s">
        <v>696</v>
      </c>
      <c r="E154" s="675">
        <v>12</v>
      </c>
      <c r="F154" s="675">
        <v>865</v>
      </c>
      <c r="G154" s="676">
        <v>0</v>
      </c>
      <c r="H154" s="676">
        <v>0</v>
      </c>
      <c r="I154" s="676">
        <v>243</v>
      </c>
      <c r="J154" s="676">
        <v>500</v>
      </c>
      <c r="K154" s="676">
        <v>0</v>
      </c>
      <c r="L154" s="676">
        <v>0</v>
      </c>
      <c r="M154" s="676">
        <v>0</v>
      </c>
      <c r="N154" s="666">
        <v>0</v>
      </c>
    </row>
    <row r="155" spans="1:14" ht="18.75" hidden="1">
      <c r="A155" s="674" t="s">
        <v>632</v>
      </c>
      <c r="B155" s="42" t="s">
        <v>348</v>
      </c>
      <c r="C155" s="42">
        <v>103135</v>
      </c>
      <c r="D155" s="42" t="s">
        <v>433</v>
      </c>
      <c r="E155" s="675">
        <v>12</v>
      </c>
      <c r="F155" s="675">
        <v>915</v>
      </c>
      <c r="G155" s="676">
        <v>214</v>
      </c>
      <c r="H155" s="676">
        <v>0</v>
      </c>
      <c r="I155" s="676">
        <v>620.04</v>
      </c>
      <c r="J155" s="676">
        <v>1000</v>
      </c>
      <c r="K155" s="676">
        <v>0</v>
      </c>
      <c r="L155" s="676">
        <v>0</v>
      </c>
      <c r="M155" s="676">
        <v>0</v>
      </c>
      <c r="N155" s="666">
        <v>214</v>
      </c>
    </row>
    <row r="156" spans="1:14" ht="18.75" hidden="1">
      <c r="A156" s="674" t="s">
        <v>632</v>
      </c>
      <c r="B156" s="42" t="s">
        <v>349</v>
      </c>
      <c r="C156" s="42">
        <v>105096</v>
      </c>
      <c r="D156" s="42" t="s">
        <v>706</v>
      </c>
      <c r="E156" s="675">
        <v>10</v>
      </c>
      <c r="F156" s="675">
        <v>450</v>
      </c>
      <c r="G156" s="676">
        <v>47</v>
      </c>
      <c r="H156" s="676">
        <v>0</v>
      </c>
      <c r="I156" s="676">
        <v>0</v>
      </c>
      <c r="J156" s="676">
        <v>0</v>
      </c>
      <c r="K156" s="676">
        <v>0</v>
      </c>
      <c r="L156" s="676">
        <v>0</v>
      </c>
      <c r="M156" s="676">
        <v>0</v>
      </c>
      <c r="N156" s="666">
        <v>47</v>
      </c>
    </row>
    <row r="157" spans="1:14" ht="18.75" hidden="1">
      <c r="A157" s="674" t="s">
        <v>632</v>
      </c>
      <c r="B157" s="42" t="s">
        <v>349</v>
      </c>
      <c r="C157" s="42">
        <v>101230</v>
      </c>
      <c r="D157" s="42" t="s">
        <v>794</v>
      </c>
      <c r="E157" s="675">
        <v>10</v>
      </c>
      <c r="F157" s="675">
        <v>650</v>
      </c>
      <c r="G157" s="676">
        <v>624.34</v>
      </c>
      <c r="H157" s="676">
        <v>0</v>
      </c>
      <c r="I157" s="676">
        <v>361.87</v>
      </c>
      <c r="J157" s="676">
        <v>750</v>
      </c>
      <c r="K157" s="676">
        <v>0</v>
      </c>
      <c r="L157" s="676">
        <v>0</v>
      </c>
      <c r="M157" s="676">
        <v>0</v>
      </c>
      <c r="N157" s="666">
        <v>624.34</v>
      </c>
    </row>
    <row r="158" spans="1:14" ht="18.75" hidden="1">
      <c r="A158" s="674" t="s">
        <v>632</v>
      </c>
      <c r="B158" s="42" t="s">
        <v>349</v>
      </c>
      <c r="C158" s="42">
        <v>104893</v>
      </c>
      <c r="D158" s="42" t="s">
        <v>622</v>
      </c>
      <c r="E158" s="675">
        <v>10</v>
      </c>
      <c r="F158" s="675">
        <v>730</v>
      </c>
      <c r="G158" s="676">
        <v>4998.6480000000001</v>
      </c>
      <c r="H158" s="676">
        <v>0</v>
      </c>
      <c r="I158" s="676">
        <v>104.172</v>
      </c>
      <c r="J158" s="676">
        <v>0</v>
      </c>
      <c r="K158" s="676">
        <v>0</v>
      </c>
      <c r="L158" s="676">
        <v>0</v>
      </c>
      <c r="M158" s="676">
        <v>0</v>
      </c>
      <c r="N158" s="666">
        <v>4998.6499999999996</v>
      </c>
    </row>
    <row r="159" spans="1:14" ht="18.75" hidden="1">
      <c r="A159" s="674" t="s">
        <v>632</v>
      </c>
      <c r="B159" s="42" t="s">
        <v>349</v>
      </c>
      <c r="C159" s="42">
        <v>104895</v>
      </c>
      <c r="D159" s="42" t="s">
        <v>623</v>
      </c>
      <c r="E159" s="675">
        <v>10</v>
      </c>
      <c r="F159" s="675">
        <v>790</v>
      </c>
      <c r="G159" s="676">
        <v>1490.21</v>
      </c>
      <c r="H159" s="676">
        <v>360</v>
      </c>
      <c r="I159" s="676">
        <v>0</v>
      </c>
      <c r="J159" s="676">
        <v>0</v>
      </c>
      <c r="K159" s="676">
        <v>0</v>
      </c>
      <c r="L159" s="676">
        <v>0</v>
      </c>
      <c r="M159" s="676">
        <v>0</v>
      </c>
      <c r="N159" s="666">
        <v>1850.21</v>
      </c>
    </row>
    <row r="160" spans="1:14" ht="18.75" hidden="1">
      <c r="A160" s="674" t="s">
        <v>632</v>
      </c>
      <c r="B160" s="42" t="s">
        <v>349</v>
      </c>
      <c r="C160" s="42">
        <v>103867</v>
      </c>
      <c r="D160" s="42" t="s">
        <v>485</v>
      </c>
      <c r="E160" s="675">
        <v>10</v>
      </c>
      <c r="F160" s="675">
        <v>815</v>
      </c>
      <c r="G160" s="676">
        <v>0</v>
      </c>
      <c r="H160" s="676">
        <v>0</v>
      </c>
      <c r="I160" s="676">
        <v>68</v>
      </c>
      <c r="J160" s="676">
        <v>500</v>
      </c>
      <c r="K160" s="676">
        <v>0</v>
      </c>
      <c r="L160" s="676">
        <v>0</v>
      </c>
      <c r="M160" s="676">
        <v>0</v>
      </c>
      <c r="N160" s="666">
        <v>0</v>
      </c>
    </row>
    <row r="161" spans="1:14" ht="18.75" hidden="1">
      <c r="A161" s="674" t="s">
        <v>632</v>
      </c>
      <c r="B161" s="42" t="s">
        <v>349</v>
      </c>
      <c r="C161" s="42">
        <v>104919</v>
      </c>
      <c r="D161" s="42" t="s">
        <v>648</v>
      </c>
      <c r="E161" s="675">
        <v>10</v>
      </c>
      <c r="F161" s="675">
        <v>870</v>
      </c>
      <c r="G161" s="676">
        <v>374.88400000000001</v>
      </c>
      <c r="H161" s="676">
        <v>0</v>
      </c>
      <c r="I161" s="676">
        <v>97</v>
      </c>
      <c r="J161" s="676">
        <v>0</v>
      </c>
      <c r="K161" s="676">
        <v>0</v>
      </c>
      <c r="L161" s="676">
        <v>0</v>
      </c>
      <c r="M161" s="676">
        <v>0</v>
      </c>
      <c r="N161" s="666">
        <v>374.88</v>
      </c>
    </row>
    <row r="162" spans="1:14" ht="18.75" hidden="1">
      <c r="A162" s="674" t="s">
        <v>632</v>
      </c>
      <c r="B162" s="42" t="s">
        <v>349</v>
      </c>
      <c r="C162" s="42">
        <v>105202</v>
      </c>
      <c r="D162" s="42" t="s">
        <v>835</v>
      </c>
      <c r="E162" s="675">
        <v>10</v>
      </c>
      <c r="F162" s="675">
        <v>980</v>
      </c>
      <c r="G162" s="676">
        <v>0</v>
      </c>
      <c r="H162" s="676">
        <v>0</v>
      </c>
      <c r="I162" s="676">
        <v>0</v>
      </c>
      <c r="J162" s="676">
        <v>9.1199999999999992</v>
      </c>
      <c r="K162" s="676">
        <v>0</v>
      </c>
      <c r="L162" s="676">
        <v>0</v>
      </c>
      <c r="M162" s="676">
        <v>0</v>
      </c>
      <c r="N162" s="666">
        <v>0</v>
      </c>
    </row>
    <row r="163" spans="1:14" ht="18.75" hidden="1">
      <c r="A163" s="674" t="s">
        <v>632</v>
      </c>
      <c r="B163" s="42" t="s">
        <v>349</v>
      </c>
      <c r="C163" s="42">
        <v>104894</v>
      </c>
      <c r="D163" s="42" t="s">
        <v>624</v>
      </c>
      <c r="E163" s="675">
        <v>10</v>
      </c>
      <c r="F163" s="675">
        <v>1005</v>
      </c>
      <c r="G163" s="676">
        <v>2549.91</v>
      </c>
      <c r="H163" s="676">
        <v>0</v>
      </c>
      <c r="I163" s="676">
        <v>0</v>
      </c>
      <c r="J163" s="676">
        <v>0</v>
      </c>
      <c r="K163" s="676">
        <v>0</v>
      </c>
      <c r="L163" s="676">
        <v>0</v>
      </c>
      <c r="M163" s="676">
        <v>0</v>
      </c>
      <c r="N163" s="666">
        <v>2549.91</v>
      </c>
    </row>
    <row r="164" spans="1:14" ht="18.75" hidden="1">
      <c r="A164" s="674" t="s">
        <v>632</v>
      </c>
      <c r="B164" s="42" t="s">
        <v>349</v>
      </c>
      <c r="C164" s="42">
        <v>105097</v>
      </c>
      <c r="D164" s="42" t="s">
        <v>703</v>
      </c>
      <c r="E164" s="675">
        <v>10</v>
      </c>
      <c r="F164" s="675">
        <v>1050</v>
      </c>
      <c r="G164" s="676">
        <v>0</v>
      </c>
      <c r="H164" s="676">
        <v>0</v>
      </c>
      <c r="I164" s="676">
        <v>26</v>
      </c>
      <c r="J164" s="676">
        <v>0</v>
      </c>
      <c r="K164" s="676">
        <v>0</v>
      </c>
      <c r="L164" s="676">
        <v>0</v>
      </c>
      <c r="M164" s="676">
        <v>0</v>
      </c>
      <c r="N164" s="666">
        <v>0</v>
      </c>
    </row>
    <row r="165" spans="1:14" ht="18.75" hidden="1">
      <c r="A165" s="674" t="s">
        <v>632</v>
      </c>
      <c r="B165" s="42" t="s">
        <v>349</v>
      </c>
      <c r="C165" s="42">
        <v>104740</v>
      </c>
      <c r="D165" s="42" t="s">
        <v>585</v>
      </c>
      <c r="E165" s="675">
        <v>10</v>
      </c>
      <c r="F165" s="675">
        <v>1207</v>
      </c>
      <c r="G165" s="676">
        <v>62.6</v>
      </c>
      <c r="H165" s="676">
        <v>0</v>
      </c>
      <c r="I165" s="676">
        <v>0</v>
      </c>
      <c r="J165" s="676">
        <v>0</v>
      </c>
      <c r="K165" s="676">
        <v>0</v>
      </c>
      <c r="L165" s="676">
        <v>0</v>
      </c>
      <c r="M165" s="676">
        <v>0</v>
      </c>
      <c r="N165" s="666">
        <v>62.6</v>
      </c>
    </row>
    <row r="166" spans="1:14" ht="18.75" hidden="1">
      <c r="A166" s="674" t="s">
        <v>632</v>
      </c>
      <c r="B166" s="42" t="s">
        <v>349</v>
      </c>
      <c r="C166" s="42">
        <v>103874</v>
      </c>
      <c r="D166" s="42" t="s">
        <v>751</v>
      </c>
      <c r="E166" s="675">
        <v>12</v>
      </c>
      <c r="F166" s="675">
        <v>415</v>
      </c>
      <c r="G166" s="676">
        <v>44.1</v>
      </c>
      <c r="H166" s="676">
        <v>0</v>
      </c>
      <c r="I166" s="676">
        <v>47.1</v>
      </c>
      <c r="J166" s="676">
        <v>0</v>
      </c>
      <c r="K166" s="676">
        <v>0</v>
      </c>
      <c r="L166" s="676">
        <v>0</v>
      </c>
      <c r="M166" s="676">
        <v>0</v>
      </c>
      <c r="N166" s="666">
        <v>44.1</v>
      </c>
    </row>
    <row r="167" spans="1:14" ht="18.75" hidden="1">
      <c r="A167" s="674" t="s">
        <v>632</v>
      </c>
      <c r="B167" s="42" t="s">
        <v>349</v>
      </c>
      <c r="C167" s="42">
        <v>103602</v>
      </c>
      <c r="D167" s="42" t="s">
        <v>760</v>
      </c>
      <c r="E167" s="675">
        <v>12</v>
      </c>
      <c r="F167" s="675">
        <v>490</v>
      </c>
      <c r="G167" s="676">
        <v>0</v>
      </c>
      <c r="H167" s="676">
        <v>0</v>
      </c>
      <c r="I167" s="676">
        <v>57</v>
      </c>
      <c r="J167" s="676">
        <v>0</v>
      </c>
      <c r="K167" s="676">
        <v>0</v>
      </c>
      <c r="L167" s="676">
        <v>0</v>
      </c>
      <c r="M167" s="676">
        <v>0</v>
      </c>
      <c r="N167" s="666">
        <v>0</v>
      </c>
    </row>
    <row r="168" spans="1:14" ht="18.75" hidden="1">
      <c r="A168" s="674" t="s">
        <v>632</v>
      </c>
      <c r="B168" s="42" t="s">
        <v>349</v>
      </c>
      <c r="C168" s="42">
        <v>100959</v>
      </c>
      <c r="D168" s="42" t="s">
        <v>502</v>
      </c>
      <c r="E168" s="675">
        <v>12</v>
      </c>
      <c r="F168" s="675">
        <v>565</v>
      </c>
      <c r="G168" s="676">
        <v>99</v>
      </c>
      <c r="H168" s="676">
        <v>0</v>
      </c>
      <c r="I168" s="676">
        <v>605.79999999999995</v>
      </c>
      <c r="J168" s="676">
        <v>0</v>
      </c>
      <c r="K168" s="676">
        <v>0</v>
      </c>
      <c r="L168" s="676">
        <v>0</v>
      </c>
      <c r="M168" s="676">
        <v>0</v>
      </c>
      <c r="N168" s="666">
        <v>99</v>
      </c>
    </row>
    <row r="169" spans="1:14" ht="18.75" hidden="1">
      <c r="A169" s="674" t="s">
        <v>632</v>
      </c>
      <c r="B169" s="42" t="s">
        <v>349</v>
      </c>
      <c r="C169" s="42">
        <v>100300</v>
      </c>
      <c r="D169" s="42" t="s">
        <v>350</v>
      </c>
      <c r="E169" s="675">
        <v>12</v>
      </c>
      <c r="F169" s="675">
        <v>650</v>
      </c>
      <c r="G169" s="676">
        <v>290</v>
      </c>
      <c r="H169" s="676">
        <v>0</v>
      </c>
      <c r="I169" s="676">
        <v>1277.7919999999999</v>
      </c>
      <c r="J169" s="676">
        <v>0</v>
      </c>
      <c r="K169" s="676">
        <v>0</v>
      </c>
      <c r="L169" s="676">
        <v>175</v>
      </c>
      <c r="M169" s="676">
        <v>0</v>
      </c>
      <c r="N169" s="666">
        <v>465</v>
      </c>
    </row>
    <row r="170" spans="1:14" ht="18.75" hidden="1">
      <c r="A170" s="674" t="s">
        <v>632</v>
      </c>
      <c r="B170" s="42" t="s">
        <v>349</v>
      </c>
      <c r="C170" s="42">
        <v>100540</v>
      </c>
      <c r="D170" s="42" t="s">
        <v>351</v>
      </c>
      <c r="E170" s="675">
        <v>12</v>
      </c>
      <c r="F170" s="675">
        <v>675</v>
      </c>
      <c r="G170" s="676">
        <v>854.678</v>
      </c>
      <c r="H170" s="676">
        <v>0</v>
      </c>
      <c r="I170" s="676">
        <v>936.97900000000004</v>
      </c>
      <c r="J170" s="676">
        <v>0</v>
      </c>
      <c r="K170" s="676">
        <v>0</v>
      </c>
      <c r="L170" s="676">
        <v>449.23899999999998</v>
      </c>
      <c r="M170" s="676">
        <v>67.5</v>
      </c>
      <c r="N170" s="666">
        <v>1371.42</v>
      </c>
    </row>
    <row r="171" spans="1:14" ht="18.75" hidden="1">
      <c r="A171" s="674" t="s">
        <v>632</v>
      </c>
      <c r="B171" s="42" t="s">
        <v>349</v>
      </c>
      <c r="C171" s="42">
        <v>100997</v>
      </c>
      <c r="D171" s="42" t="s">
        <v>417</v>
      </c>
      <c r="E171" s="675">
        <v>12</v>
      </c>
      <c r="F171" s="675">
        <v>700</v>
      </c>
      <c r="G171" s="676">
        <v>0</v>
      </c>
      <c r="H171" s="676">
        <v>0</v>
      </c>
      <c r="I171" s="676">
        <v>427.02</v>
      </c>
      <c r="J171" s="676">
        <v>0</v>
      </c>
      <c r="K171" s="676">
        <v>0</v>
      </c>
      <c r="L171" s="676">
        <v>0</v>
      </c>
      <c r="M171" s="676">
        <v>0</v>
      </c>
      <c r="N171" s="666">
        <v>0</v>
      </c>
    </row>
    <row r="172" spans="1:14" ht="18.75" hidden="1">
      <c r="A172" s="674" t="s">
        <v>632</v>
      </c>
      <c r="B172" s="42" t="s">
        <v>349</v>
      </c>
      <c r="C172" s="42">
        <v>101307</v>
      </c>
      <c r="D172" s="42" t="s">
        <v>795</v>
      </c>
      <c r="E172" s="675">
        <v>12</v>
      </c>
      <c r="F172" s="675">
        <v>710</v>
      </c>
      <c r="G172" s="676">
        <v>0</v>
      </c>
      <c r="H172" s="676">
        <v>0</v>
      </c>
      <c r="I172" s="676">
        <v>144.30000000000001</v>
      </c>
      <c r="J172" s="676">
        <v>0</v>
      </c>
      <c r="K172" s="676">
        <v>0</v>
      </c>
      <c r="L172" s="676">
        <v>0</v>
      </c>
      <c r="M172" s="676">
        <v>0</v>
      </c>
      <c r="N172" s="666">
        <v>0</v>
      </c>
    </row>
    <row r="173" spans="1:14" ht="18.75" hidden="1">
      <c r="A173" s="674" t="s">
        <v>632</v>
      </c>
      <c r="B173" s="42" t="s">
        <v>349</v>
      </c>
      <c r="C173" s="42">
        <v>101149</v>
      </c>
      <c r="D173" s="42" t="s">
        <v>410</v>
      </c>
      <c r="E173" s="675">
        <v>12</v>
      </c>
      <c r="F173" s="675">
        <v>730</v>
      </c>
      <c r="G173" s="676">
        <v>1215.24</v>
      </c>
      <c r="H173" s="676">
        <v>0</v>
      </c>
      <c r="I173" s="676">
        <v>103.77</v>
      </c>
      <c r="J173" s="676">
        <v>69.63</v>
      </c>
      <c r="K173" s="676">
        <v>0</v>
      </c>
      <c r="L173" s="676">
        <v>0</v>
      </c>
      <c r="M173" s="676">
        <v>0</v>
      </c>
      <c r="N173" s="666">
        <v>1215.24</v>
      </c>
    </row>
    <row r="174" spans="1:14" ht="18.75" hidden="1">
      <c r="A174" s="674" t="s">
        <v>632</v>
      </c>
      <c r="B174" s="42" t="s">
        <v>349</v>
      </c>
      <c r="C174" s="42">
        <v>100027</v>
      </c>
      <c r="D174" s="42" t="s">
        <v>486</v>
      </c>
      <c r="E174" s="675">
        <v>12</v>
      </c>
      <c r="F174" s="675">
        <v>770</v>
      </c>
      <c r="G174" s="676">
        <v>1790.41</v>
      </c>
      <c r="H174" s="676">
        <v>0</v>
      </c>
      <c r="I174" s="676">
        <v>489.14</v>
      </c>
      <c r="J174" s="676">
        <v>0</v>
      </c>
      <c r="K174" s="676">
        <v>0</v>
      </c>
      <c r="L174" s="676">
        <v>471.55</v>
      </c>
      <c r="M174" s="676">
        <v>0</v>
      </c>
      <c r="N174" s="666">
        <v>2261.96</v>
      </c>
    </row>
    <row r="175" spans="1:14" ht="18.75" hidden="1">
      <c r="A175" s="674" t="s">
        <v>632</v>
      </c>
      <c r="B175" s="42" t="s">
        <v>349</v>
      </c>
      <c r="C175" s="42">
        <v>100486</v>
      </c>
      <c r="D175" s="42" t="s">
        <v>352</v>
      </c>
      <c r="E175" s="675">
        <v>12</v>
      </c>
      <c r="F175" s="675">
        <v>790</v>
      </c>
      <c r="G175" s="676">
        <v>3901.942</v>
      </c>
      <c r="H175" s="676">
        <v>0</v>
      </c>
      <c r="I175" s="676">
        <v>867.24</v>
      </c>
      <c r="J175" s="676">
        <v>0</v>
      </c>
      <c r="K175" s="676">
        <v>0</v>
      </c>
      <c r="L175" s="676">
        <v>0</v>
      </c>
      <c r="M175" s="676">
        <v>0</v>
      </c>
      <c r="N175" s="666">
        <v>3901.94</v>
      </c>
    </row>
    <row r="176" spans="1:14" ht="18.75" hidden="1">
      <c r="A176" s="674" t="s">
        <v>632</v>
      </c>
      <c r="B176" s="42" t="s">
        <v>349</v>
      </c>
      <c r="C176" s="42">
        <v>100028</v>
      </c>
      <c r="D176" s="42" t="s">
        <v>353</v>
      </c>
      <c r="E176" s="675">
        <v>12</v>
      </c>
      <c r="F176" s="675">
        <v>810</v>
      </c>
      <c r="G176" s="676">
        <v>1321.8</v>
      </c>
      <c r="H176" s="676">
        <v>0</v>
      </c>
      <c r="I176" s="676">
        <v>1625.039</v>
      </c>
      <c r="J176" s="676">
        <v>0</v>
      </c>
      <c r="K176" s="676">
        <v>0</v>
      </c>
      <c r="L176" s="676">
        <v>71.599999999999994</v>
      </c>
      <c r="M176" s="676">
        <v>0</v>
      </c>
      <c r="N176" s="666">
        <v>1393.4</v>
      </c>
    </row>
    <row r="177" spans="1:14" ht="18.75" hidden="1">
      <c r="A177" s="674" t="s">
        <v>632</v>
      </c>
      <c r="B177" s="42" t="s">
        <v>349</v>
      </c>
      <c r="C177" s="42">
        <v>100355</v>
      </c>
      <c r="D177" s="42" t="s">
        <v>354</v>
      </c>
      <c r="E177" s="675">
        <v>12</v>
      </c>
      <c r="F177" s="675">
        <v>820</v>
      </c>
      <c r="G177" s="676">
        <v>2006.2</v>
      </c>
      <c r="H177" s="676">
        <v>0</v>
      </c>
      <c r="I177" s="676">
        <v>0</v>
      </c>
      <c r="J177" s="676">
        <v>0</v>
      </c>
      <c r="K177" s="676">
        <v>0</v>
      </c>
      <c r="L177" s="676">
        <v>10</v>
      </c>
      <c r="M177" s="676">
        <v>0</v>
      </c>
      <c r="N177" s="666">
        <v>2016.2</v>
      </c>
    </row>
    <row r="178" spans="1:14" ht="18.75" hidden="1">
      <c r="A178" s="674" t="s">
        <v>632</v>
      </c>
      <c r="B178" s="42" t="s">
        <v>349</v>
      </c>
      <c r="C178" s="42">
        <v>100413</v>
      </c>
      <c r="D178" s="42" t="s">
        <v>953</v>
      </c>
      <c r="E178" s="675">
        <v>12</v>
      </c>
      <c r="F178" s="675">
        <v>850</v>
      </c>
      <c r="G178" s="676">
        <v>0</v>
      </c>
      <c r="H178" s="676">
        <v>0</v>
      </c>
      <c r="I178" s="676">
        <v>0</v>
      </c>
      <c r="J178" s="676">
        <v>500</v>
      </c>
      <c r="K178" s="676">
        <v>0</v>
      </c>
      <c r="L178" s="676">
        <v>0</v>
      </c>
      <c r="M178" s="676">
        <v>0</v>
      </c>
      <c r="N178" s="666">
        <v>0</v>
      </c>
    </row>
    <row r="179" spans="1:14" ht="18.75" hidden="1">
      <c r="A179" s="674" t="s">
        <v>632</v>
      </c>
      <c r="B179" s="42" t="s">
        <v>349</v>
      </c>
      <c r="C179" s="42">
        <v>105085</v>
      </c>
      <c r="D179" s="42" t="s">
        <v>697</v>
      </c>
      <c r="E179" s="675">
        <v>12</v>
      </c>
      <c r="F179" s="675">
        <v>860</v>
      </c>
      <c r="G179" s="676">
        <v>0</v>
      </c>
      <c r="H179" s="676">
        <v>0</v>
      </c>
      <c r="I179" s="676">
        <v>272</v>
      </c>
      <c r="J179" s="676">
        <v>0</v>
      </c>
      <c r="K179" s="676">
        <v>0</v>
      </c>
      <c r="L179" s="676">
        <v>0</v>
      </c>
      <c r="M179" s="676">
        <v>0</v>
      </c>
      <c r="N179" s="666">
        <v>0</v>
      </c>
    </row>
    <row r="180" spans="1:14" ht="18.75" hidden="1">
      <c r="A180" s="674" t="s">
        <v>632</v>
      </c>
      <c r="B180" s="42" t="s">
        <v>349</v>
      </c>
      <c r="C180" s="42">
        <v>100915</v>
      </c>
      <c r="D180" s="42" t="s">
        <v>355</v>
      </c>
      <c r="E180" s="675">
        <v>12</v>
      </c>
      <c r="F180" s="675">
        <v>895</v>
      </c>
      <c r="G180" s="676">
        <v>0</v>
      </c>
      <c r="H180" s="676">
        <v>0</v>
      </c>
      <c r="I180" s="676">
        <v>63.2</v>
      </c>
      <c r="J180" s="676">
        <v>0</v>
      </c>
      <c r="K180" s="676">
        <v>0</v>
      </c>
      <c r="L180" s="676">
        <v>0</v>
      </c>
      <c r="M180" s="676">
        <v>0</v>
      </c>
      <c r="N180" s="666">
        <v>0</v>
      </c>
    </row>
    <row r="181" spans="1:14" ht="18.75" hidden="1">
      <c r="A181" s="674" t="s">
        <v>632</v>
      </c>
      <c r="B181" s="42" t="s">
        <v>349</v>
      </c>
      <c r="C181" s="42">
        <v>100527</v>
      </c>
      <c r="D181" s="42" t="s">
        <v>389</v>
      </c>
      <c r="E181" s="675">
        <v>12</v>
      </c>
      <c r="F181" s="675">
        <v>900</v>
      </c>
      <c r="G181" s="676">
        <v>50.5</v>
      </c>
      <c r="H181" s="676">
        <v>0</v>
      </c>
      <c r="I181" s="676">
        <v>9.5</v>
      </c>
      <c r="J181" s="676">
        <v>0</v>
      </c>
      <c r="K181" s="676">
        <v>0</v>
      </c>
      <c r="L181" s="676">
        <v>0</v>
      </c>
      <c r="M181" s="676">
        <v>0</v>
      </c>
      <c r="N181" s="666">
        <v>50.5</v>
      </c>
    </row>
    <row r="182" spans="1:14" ht="18.75" hidden="1">
      <c r="A182" s="674" t="s">
        <v>632</v>
      </c>
      <c r="B182" s="42" t="s">
        <v>349</v>
      </c>
      <c r="C182" s="42">
        <v>100029</v>
      </c>
      <c r="D182" s="42" t="s">
        <v>356</v>
      </c>
      <c r="E182" s="675">
        <v>12</v>
      </c>
      <c r="F182" s="675">
        <v>910</v>
      </c>
      <c r="G182" s="676">
        <v>5541.8580000000002</v>
      </c>
      <c r="H182" s="676">
        <v>0</v>
      </c>
      <c r="I182" s="676">
        <v>1448.4059999999999</v>
      </c>
      <c r="J182" s="676">
        <v>0</v>
      </c>
      <c r="K182" s="676">
        <v>0</v>
      </c>
      <c r="L182" s="676">
        <v>247</v>
      </c>
      <c r="M182" s="676">
        <v>0</v>
      </c>
      <c r="N182" s="666">
        <v>5788.86</v>
      </c>
    </row>
    <row r="183" spans="1:14" ht="18.75" hidden="1">
      <c r="A183" s="674" t="s">
        <v>632</v>
      </c>
      <c r="B183" s="42" t="s">
        <v>349</v>
      </c>
      <c r="C183" s="42">
        <v>100356</v>
      </c>
      <c r="D183" s="42" t="s">
        <v>616</v>
      </c>
      <c r="E183" s="675">
        <v>12</v>
      </c>
      <c r="F183" s="675">
        <v>920</v>
      </c>
      <c r="G183" s="676">
        <v>577.53599999999994</v>
      </c>
      <c r="H183" s="676">
        <v>0</v>
      </c>
      <c r="I183" s="676">
        <v>247</v>
      </c>
      <c r="J183" s="676">
        <v>0</v>
      </c>
      <c r="K183" s="676">
        <v>0</v>
      </c>
      <c r="L183" s="676">
        <v>565.53599999999994</v>
      </c>
      <c r="M183" s="676">
        <v>0</v>
      </c>
      <c r="N183" s="666">
        <v>1143.08</v>
      </c>
    </row>
    <row r="184" spans="1:14" ht="18.75" hidden="1">
      <c r="A184" s="674" t="s">
        <v>632</v>
      </c>
      <c r="B184" s="42" t="s">
        <v>349</v>
      </c>
      <c r="C184" s="42">
        <v>100030</v>
      </c>
      <c r="D184" s="42" t="s">
        <v>357</v>
      </c>
      <c r="E184" s="675">
        <v>12</v>
      </c>
      <c r="F184" s="675">
        <v>970</v>
      </c>
      <c r="G184" s="676">
        <v>0</v>
      </c>
      <c r="H184" s="676">
        <v>0</v>
      </c>
      <c r="I184" s="676">
        <v>5411.0889999999999</v>
      </c>
      <c r="J184" s="676">
        <v>0</v>
      </c>
      <c r="K184" s="676">
        <v>1196.8800000000001</v>
      </c>
      <c r="L184" s="676">
        <v>0</v>
      </c>
      <c r="M184" s="676">
        <v>0</v>
      </c>
      <c r="N184" s="666">
        <v>1196.8800000000001</v>
      </c>
    </row>
    <row r="185" spans="1:14" ht="18.75" hidden="1">
      <c r="A185" s="674" t="s">
        <v>632</v>
      </c>
      <c r="B185" s="42" t="s">
        <v>349</v>
      </c>
      <c r="C185" s="42">
        <v>100031</v>
      </c>
      <c r="D185" s="42" t="s">
        <v>450</v>
      </c>
      <c r="E185" s="675">
        <v>12</v>
      </c>
      <c r="F185" s="675">
        <v>1010</v>
      </c>
      <c r="G185" s="676">
        <v>530</v>
      </c>
      <c r="H185" s="676">
        <v>0</v>
      </c>
      <c r="I185" s="676">
        <v>4142.2</v>
      </c>
      <c r="J185" s="676">
        <v>0</v>
      </c>
      <c r="K185" s="676">
        <v>0</v>
      </c>
      <c r="L185" s="676">
        <v>0</v>
      </c>
      <c r="M185" s="676">
        <v>0</v>
      </c>
      <c r="N185" s="666">
        <v>530</v>
      </c>
    </row>
    <row r="186" spans="1:14" ht="18.75" hidden="1">
      <c r="A186" s="674" t="s">
        <v>632</v>
      </c>
      <c r="B186" s="42" t="s">
        <v>349</v>
      </c>
      <c r="C186" s="42">
        <v>102068</v>
      </c>
      <c r="D186" s="42" t="s">
        <v>358</v>
      </c>
      <c r="E186" s="675">
        <v>12</v>
      </c>
      <c r="F186" s="675">
        <v>1035</v>
      </c>
      <c r="G186" s="676">
        <v>474</v>
      </c>
      <c r="H186" s="676">
        <v>0</v>
      </c>
      <c r="I186" s="676">
        <v>11</v>
      </c>
      <c r="J186" s="676">
        <v>0</v>
      </c>
      <c r="K186" s="676">
        <v>0</v>
      </c>
      <c r="L186" s="676">
        <v>0</v>
      </c>
      <c r="M186" s="676">
        <v>0</v>
      </c>
      <c r="N186" s="666">
        <v>474</v>
      </c>
    </row>
    <row r="187" spans="1:14" ht="18.75" hidden="1">
      <c r="A187" s="674" t="s">
        <v>632</v>
      </c>
      <c r="B187" s="42" t="s">
        <v>349</v>
      </c>
      <c r="C187" s="42">
        <v>104784</v>
      </c>
      <c r="D187" s="42" t="s">
        <v>595</v>
      </c>
      <c r="E187" s="675">
        <v>12</v>
      </c>
      <c r="F187" s="675">
        <v>1055</v>
      </c>
      <c r="G187" s="676">
        <v>172</v>
      </c>
      <c r="H187" s="676">
        <v>0</v>
      </c>
      <c r="I187" s="676">
        <v>473.76</v>
      </c>
      <c r="J187" s="676">
        <v>0</v>
      </c>
      <c r="K187" s="676">
        <v>0</v>
      </c>
      <c r="L187" s="676">
        <v>0</v>
      </c>
      <c r="M187" s="676">
        <v>0</v>
      </c>
      <c r="N187" s="666">
        <v>172</v>
      </c>
    </row>
    <row r="188" spans="1:14" ht="18.75" hidden="1">
      <c r="A188" s="674" t="s">
        <v>632</v>
      </c>
      <c r="B188" s="42" t="s">
        <v>349</v>
      </c>
      <c r="C188" s="42">
        <v>104785</v>
      </c>
      <c r="D188" s="42" t="s">
        <v>596</v>
      </c>
      <c r="E188" s="675">
        <v>12</v>
      </c>
      <c r="F188" s="675">
        <v>1110</v>
      </c>
      <c r="G188" s="676">
        <v>1350.28</v>
      </c>
      <c r="H188" s="676">
        <v>0</v>
      </c>
      <c r="I188" s="676">
        <v>0</v>
      </c>
      <c r="J188" s="676">
        <v>0</v>
      </c>
      <c r="K188" s="676">
        <v>0</v>
      </c>
      <c r="L188" s="676">
        <v>13</v>
      </c>
      <c r="M188" s="676">
        <v>0</v>
      </c>
      <c r="N188" s="666">
        <v>1363.28</v>
      </c>
    </row>
    <row r="189" spans="1:14" ht="18.75" hidden="1">
      <c r="A189" s="674" t="s">
        <v>632</v>
      </c>
      <c r="B189" s="42" t="s">
        <v>349</v>
      </c>
      <c r="C189" s="42">
        <v>104783</v>
      </c>
      <c r="D189" s="42" t="s">
        <v>597</v>
      </c>
      <c r="E189" s="675">
        <v>12</v>
      </c>
      <c r="F189" s="675">
        <v>1210</v>
      </c>
      <c r="G189" s="676">
        <v>1000.84</v>
      </c>
      <c r="H189" s="676">
        <v>0</v>
      </c>
      <c r="I189" s="676">
        <v>1194.8800000000001</v>
      </c>
      <c r="J189" s="676">
        <v>0</v>
      </c>
      <c r="K189" s="676">
        <v>0</v>
      </c>
      <c r="L189" s="676">
        <v>0</v>
      </c>
      <c r="M189" s="676">
        <v>0</v>
      </c>
      <c r="N189" s="666">
        <v>1000.84</v>
      </c>
    </row>
    <row r="190" spans="1:14" ht="18.75" hidden="1">
      <c r="A190" s="674" t="s">
        <v>632</v>
      </c>
      <c r="B190" s="42" t="s">
        <v>349</v>
      </c>
      <c r="C190" s="42">
        <v>103149</v>
      </c>
      <c r="D190" s="42" t="s">
        <v>814</v>
      </c>
      <c r="E190" s="675">
        <v>13</v>
      </c>
      <c r="F190" s="675">
        <v>675</v>
      </c>
      <c r="G190" s="676">
        <v>393.6</v>
      </c>
      <c r="H190" s="676">
        <v>0</v>
      </c>
      <c r="I190" s="676">
        <v>502.4</v>
      </c>
      <c r="J190" s="676">
        <v>0</v>
      </c>
      <c r="K190" s="676">
        <v>0</v>
      </c>
      <c r="L190" s="676">
        <v>0</v>
      </c>
      <c r="M190" s="676">
        <v>0</v>
      </c>
      <c r="N190" s="666">
        <v>393.6</v>
      </c>
    </row>
    <row r="191" spans="1:14" ht="18.75" hidden="1">
      <c r="A191" s="674" t="s">
        <v>632</v>
      </c>
      <c r="B191" s="42" t="s">
        <v>349</v>
      </c>
      <c r="C191" s="42">
        <v>103150</v>
      </c>
      <c r="D191" s="42" t="s">
        <v>815</v>
      </c>
      <c r="E191" s="675">
        <v>13</v>
      </c>
      <c r="F191" s="675">
        <v>695</v>
      </c>
      <c r="G191" s="676">
        <v>483</v>
      </c>
      <c r="H191" s="676">
        <v>0</v>
      </c>
      <c r="I191" s="676">
        <v>466</v>
      </c>
      <c r="J191" s="676">
        <v>0</v>
      </c>
      <c r="K191" s="676">
        <v>0</v>
      </c>
      <c r="L191" s="676">
        <v>0</v>
      </c>
      <c r="M191" s="676">
        <v>0</v>
      </c>
      <c r="N191" s="666">
        <v>483</v>
      </c>
    </row>
    <row r="192" spans="1:14" ht="18.75" hidden="1">
      <c r="A192" s="674" t="s">
        <v>632</v>
      </c>
      <c r="B192" s="42" t="s">
        <v>349</v>
      </c>
      <c r="C192" s="42">
        <v>103151</v>
      </c>
      <c r="D192" s="42" t="s">
        <v>496</v>
      </c>
      <c r="E192" s="675">
        <v>13</v>
      </c>
      <c r="F192" s="675">
        <v>795</v>
      </c>
      <c r="G192" s="676">
        <v>100</v>
      </c>
      <c r="H192" s="676">
        <v>0</v>
      </c>
      <c r="I192" s="676">
        <v>741.4</v>
      </c>
      <c r="J192" s="676">
        <v>32</v>
      </c>
      <c r="K192" s="676">
        <v>0</v>
      </c>
      <c r="L192" s="676">
        <v>0</v>
      </c>
      <c r="M192" s="676">
        <v>0</v>
      </c>
      <c r="N192" s="666">
        <v>100</v>
      </c>
    </row>
    <row r="193" spans="1:14" ht="18.75" hidden="1">
      <c r="A193" s="674" t="s">
        <v>632</v>
      </c>
      <c r="B193" s="42" t="s">
        <v>590</v>
      </c>
      <c r="C193" s="42">
        <v>104773</v>
      </c>
      <c r="D193" s="42" t="s">
        <v>591</v>
      </c>
      <c r="E193" s="675">
        <v>10</v>
      </c>
      <c r="F193" s="675">
        <v>460</v>
      </c>
      <c r="G193" s="676">
        <v>31</v>
      </c>
      <c r="H193" s="676">
        <v>0</v>
      </c>
      <c r="I193" s="676">
        <v>0</v>
      </c>
      <c r="J193" s="676">
        <v>0</v>
      </c>
      <c r="K193" s="676">
        <v>0</v>
      </c>
      <c r="L193" s="676">
        <v>0</v>
      </c>
      <c r="M193" s="676">
        <v>0</v>
      </c>
      <c r="N193" s="666">
        <v>31</v>
      </c>
    </row>
    <row r="194" spans="1:14" ht="18.75" hidden="1">
      <c r="A194" s="674" t="s">
        <v>632</v>
      </c>
      <c r="B194" s="42" t="s">
        <v>359</v>
      </c>
      <c r="C194" s="42">
        <v>102614</v>
      </c>
      <c r="D194" s="42" t="s">
        <v>481</v>
      </c>
      <c r="E194" s="675">
        <v>10</v>
      </c>
      <c r="F194" s="675">
        <v>710</v>
      </c>
      <c r="G194" s="676">
        <v>0</v>
      </c>
      <c r="H194" s="676">
        <v>0</v>
      </c>
      <c r="I194" s="676">
        <v>0</v>
      </c>
      <c r="J194" s="676">
        <v>0</v>
      </c>
      <c r="K194" s="676">
        <v>0</v>
      </c>
      <c r="L194" s="676">
        <v>0</v>
      </c>
      <c r="M194" s="676">
        <v>24</v>
      </c>
      <c r="N194" s="666">
        <v>24</v>
      </c>
    </row>
    <row r="195" spans="1:14" ht="18.75" hidden="1">
      <c r="A195" s="674" t="s">
        <v>632</v>
      </c>
      <c r="B195" s="42" t="s">
        <v>438</v>
      </c>
      <c r="C195" s="42">
        <v>105014</v>
      </c>
      <c r="D195" s="42" t="s">
        <v>678</v>
      </c>
      <c r="E195" s="675">
        <v>12</v>
      </c>
      <c r="F195" s="675">
        <v>1224</v>
      </c>
      <c r="G195" s="676">
        <v>488.7</v>
      </c>
      <c r="H195" s="676">
        <v>0</v>
      </c>
      <c r="I195" s="676">
        <v>0</v>
      </c>
      <c r="J195" s="676">
        <v>0</v>
      </c>
      <c r="K195" s="676">
        <v>0</v>
      </c>
      <c r="L195" s="676">
        <v>0</v>
      </c>
      <c r="M195" s="676">
        <v>0</v>
      </c>
      <c r="N195" s="666">
        <v>488.7</v>
      </c>
    </row>
    <row r="196" spans="1:14" ht="18.75" hidden="1">
      <c r="A196" s="674" t="s">
        <v>632</v>
      </c>
      <c r="B196" s="42" t="s">
        <v>360</v>
      </c>
      <c r="C196" s="42">
        <v>104141</v>
      </c>
      <c r="D196" s="42" t="s">
        <v>500</v>
      </c>
      <c r="E196" s="675">
        <v>8</v>
      </c>
      <c r="F196" s="675">
        <v>795</v>
      </c>
      <c r="G196" s="676">
        <v>211.5</v>
      </c>
      <c r="H196" s="676">
        <v>0</v>
      </c>
      <c r="I196" s="676">
        <v>0</v>
      </c>
      <c r="J196" s="676">
        <v>0</v>
      </c>
      <c r="K196" s="676">
        <v>0</v>
      </c>
      <c r="L196" s="676">
        <v>0</v>
      </c>
      <c r="M196" s="676">
        <v>0</v>
      </c>
      <c r="N196" s="666">
        <v>211.5</v>
      </c>
    </row>
    <row r="197" spans="1:14" ht="18.75" hidden="1">
      <c r="A197" s="674" t="s">
        <v>632</v>
      </c>
      <c r="B197" s="42" t="s">
        <v>360</v>
      </c>
      <c r="C197" s="42">
        <v>104140</v>
      </c>
      <c r="D197" s="42" t="s">
        <v>501</v>
      </c>
      <c r="E197" s="675">
        <v>8</v>
      </c>
      <c r="F197" s="675">
        <v>825</v>
      </c>
      <c r="G197" s="676">
        <v>781.76400000000001</v>
      </c>
      <c r="H197" s="676">
        <v>0</v>
      </c>
      <c r="I197" s="676">
        <v>726.26400000000001</v>
      </c>
      <c r="J197" s="676">
        <v>0</v>
      </c>
      <c r="K197" s="676">
        <v>0</v>
      </c>
      <c r="L197" s="676">
        <v>0</v>
      </c>
      <c r="M197" s="676">
        <v>0</v>
      </c>
      <c r="N197" s="666">
        <v>781.76</v>
      </c>
    </row>
    <row r="198" spans="1:14" ht="18.75" hidden="1">
      <c r="A198" s="674" t="s">
        <v>632</v>
      </c>
      <c r="B198" s="42" t="s">
        <v>360</v>
      </c>
      <c r="C198" s="42">
        <v>105060</v>
      </c>
      <c r="D198" s="42" t="s">
        <v>689</v>
      </c>
      <c r="E198" s="675">
        <v>8</v>
      </c>
      <c r="F198" s="675">
        <v>975</v>
      </c>
      <c r="G198" s="676">
        <v>62</v>
      </c>
      <c r="H198" s="676">
        <v>0</v>
      </c>
      <c r="I198" s="676">
        <v>1249.5170000000001</v>
      </c>
      <c r="J198" s="676">
        <v>0</v>
      </c>
      <c r="K198" s="676">
        <v>0</v>
      </c>
      <c r="L198" s="676">
        <v>0</v>
      </c>
      <c r="M198" s="676">
        <v>0</v>
      </c>
      <c r="N198" s="666">
        <v>62</v>
      </c>
    </row>
    <row r="199" spans="1:14" ht="18.75" hidden="1">
      <c r="A199" s="674" t="s">
        <v>632</v>
      </c>
      <c r="B199" s="42" t="s">
        <v>360</v>
      </c>
      <c r="C199" s="42">
        <v>104657</v>
      </c>
      <c r="D199" s="42" t="s">
        <v>566</v>
      </c>
      <c r="E199" s="675">
        <v>8</v>
      </c>
      <c r="F199" s="675">
        <v>1005</v>
      </c>
      <c r="G199" s="676">
        <v>1665.999</v>
      </c>
      <c r="H199" s="676">
        <v>0</v>
      </c>
      <c r="I199" s="676">
        <v>0</v>
      </c>
      <c r="J199" s="676">
        <v>0</v>
      </c>
      <c r="K199" s="676">
        <v>0</v>
      </c>
      <c r="L199" s="676">
        <v>0</v>
      </c>
      <c r="M199" s="676">
        <v>0</v>
      </c>
      <c r="N199" s="666">
        <v>1666</v>
      </c>
    </row>
    <row r="200" spans="1:14" ht="18.75" hidden="1">
      <c r="A200" s="674" t="s">
        <v>632</v>
      </c>
      <c r="B200" s="42" t="s">
        <v>360</v>
      </c>
      <c r="C200" s="42">
        <v>103731</v>
      </c>
      <c r="D200" s="42" t="s">
        <v>719</v>
      </c>
      <c r="E200" s="675">
        <v>8</v>
      </c>
      <c r="F200" s="675">
        <v>1035</v>
      </c>
      <c r="G200" s="676">
        <v>856.96400000000006</v>
      </c>
      <c r="H200" s="676">
        <v>0</v>
      </c>
      <c r="I200" s="676">
        <v>10276.708000000001</v>
      </c>
      <c r="J200" s="676">
        <v>0</v>
      </c>
      <c r="K200" s="676">
        <v>0</v>
      </c>
      <c r="L200" s="676">
        <v>0</v>
      </c>
      <c r="M200" s="676">
        <v>0</v>
      </c>
      <c r="N200" s="666">
        <v>856.96</v>
      </c>
    </row>
    <row r="201" spans="1:14" ht="18.75" hidden="1">
      <c r="A201" s="674" t="s">
        <v>632</v>
      </c>
      <c r="B201" s="42" t="s">
        <v>360</v>
      </c>
      <c r="C201" s="42">
        <v>105156</v>
      </c>
      <c r="D201" s="42" t="s">
        <v>735</v>
      </c>
      <c r="E201" s="675">
        <v>8</v>
      </c>
      <c r="F201" s="675">
        <v>1135</v>
      </c>
      <c r="G201" s="676">
        <v>1399.461</v>
      </c>
      <c r="H201" s="676">
        <v>0</v>
      </c>
      <c r="I201" s="676">
        <v>0</v>
      </c>
      <c r="J201" s="676">
        <v>0</v>
      </c>
      <c r="K201" s="676">
        <v>0</v>
      </c>
      <c r="L201" s="676">
        <v>0</v>
      </c>
      <c r="M201" s="676">
        <v>0</v>
      </c>
      <c r="N201" s="666">
        <v>1399.46</v>
      </c>
    </row>
    <row r="202" spans="1:14" ht="18.75" hidden="1">
      <c r="A202" s="674" t="s">
        <v>632</v>
      </c>
      <c r="B202" s="42" t="s">
        <v>360</v>
      </c>
      <c r="C202" s="42">
        <v>104641</v>
      </c>
      <c r="D202" s="42" t="s">
        <v>569</v>
      </c>
      <c r="E202" s="675">
        <v>8</v>
      </c>
      <c r="F202" s="675">
        <v>1215</v>
      </c>
      <c r="G202" s="676">
        <v>39</v>
      </c>
      <c r="H202" s="676">
        <v>0</v>
      </c>
      <c r="I202" s="676">
        <v>0</v>
      </c>
      <c r="J202" s="676">
        <v>0</v>
      </c>
      <c r="K202" s="676">
        <v>0</v>
      </c>
      <c r="L202" s="676">
        <v>0</v>
      </c>
      <c r="M202" s="676">
        <v>0</v>
      </c>
      <c r="N202" s="666">
        <v>39</v>
      </c>
    </row>
    <row r="203" spans="1:14" ht="18.75" hidden="1">
      <c r="A203" s="674" t="s">
        <v>632</v>
      </c>
      <c r="B203" s="42" t="s">
        <v>360</v>
      </c>
      <c r="C203" s="42">
        <v>105180</v>
      </c>
      <c r="D203" s="42" t="s">
        <v>796</v>
      </c>
      <c r="E203" s="675">
        <v>10</v>
      </c>
      <c r="F203" s="675">
        <v>655</v>
      </c>
      <c r="G203" s="676">
        <v>452.89800000000002</v>
      </c>
      <c r="H203" s="676">
        <v>0</v>
      </c>
      <c r="I203" s="676">
        <v>209.99799999999999</v>
      </c>
      <c r="J203" s="676">
        <v>750</v>
      </c>
      <c r="K203" s="676">
        <v>0</v>
      </c>
      <c r="L203" s="676">
        <v>0</v>
      </c>
      <c r="M203" s="676">
        <v>0</v>
      </c>
      <c r="N203" s="666">
        <v>452.9</v>
      </c>
    </row>
    <row r="204" spans="1:14" ht="18.75" hidden="1">
      <c r="A204" s="674" t="s">
        <v>632</v>
      </c>
      <c r="B204" s="42" t="s">
        <v>360</v>
      </c>
      <c r="C204" s="42">
        <v>104658</v>
      </c>
      <c r="D204" s="42" t="s">
        <v>567</v>
      </c>
      <c r="E204" s="675">
        <v>10</v>
      </c>
      <c r="F204" s="675">
        <v>675</v>
      </c>
      <c r="G204" s="676">
        <v>545.34</v>
      </c>
      <c r="H204" s="676">
        <v>0</v>
      </c>
      <c r="I204" s="676">
        <v>470.90600000000001</v>
      </c>
      <c r="J204" s="676">
        <v>0</v>
      </c>
      <c r="K204" s="676">
        <v>0</v>
      </c>
      <c r="L204" s="676">
        <v>0</v>
      </c>
      <c r="M204" s="676">
        <v>0</v>
      </c>
      <c r="N204" s="666">
        <v>545.34</v>
      </c>
    </row>
    <row r="205" spans="1:14" ht="18.75" hidden="1">
      <c r="A205" s="674" t="s">
        <v>632</v>
      </c>
      <c r="B205" s="42" t="s">
        <v>360</v>
      </c>
      <c r="C205" s="42">
        <v>104891</v>
      </c>
      <c r="D205" s="42" t="s">
        <v>625</v>
      </c>
      <c r="E205" s="675">
        <v>10</v>
      </c>
      <c r="F205" s="675">
        <v>735</v>
      </c>
      <c r="G205" s="676">
        <v>2145.9540000000002</v>
      </c>
      <c r="H205" s="676">
        <v>0</v>
      </c>
      <c r="I205" s="676">
        <v>0</v>
      </c>
      <c r="J205" s="676">
        <v>0</v>
      </c>
      <c r="K205" s="676">
        <v>0</v>
      </c>
      <c r="L205" s="676">
        <v>0</v>
      </c>
      <c r="M205" s="676">
        <v>0</v>
      </c>
      <c r="N205" s="666">
        <v>2145.9499999999998</v>
      </c>
    </row>
    <row r="206" spans="1:14" ht="18.75" hidden="1">
      <c r="A206" s="674" t="s">
        <v>632</v>
      </c>
      <c r="B206" s="42" t="s">
        <v>360</v>
      </c>
      <c r="C206" s="42">
        <v>104471</v>
      </c>
      <c r="D206" s="42" t="s">
        <v>526</v>
      </c>
      <c r="E206" s="675">
        <v>10</v>
      </c>
      <c r="F206" s="675">
        <v>795</v>
      </c>
      <c r="G206" s="676">
        <v>1695.114</v>
      </c>
      <c r="H206" s="676">
        <v>0</v>
      </c>
      <c r="I206" s="676">
        <v>0</v>
      </c>
      <c r="J206" s="676">
        <v>0</v>
      </c>
      <c r="K206" s="676">
        <v>0</v>
      </c>
      <c r="L206" s="676">
        <v>0</v>
      </c>
      <c r="M206" s="676">
        <v>0</v>
      </c>
      <c r="N206" s="666">
        <v>1695.11</v>
      </c>
    </row>
    <row r="207" spans="1:14" ht="18.75" hidden="1">
      <c r="A207" s="674" t="s">
        <v>632</v>
      </c>
      <c r="B207" s="42" t="s">
        <v>360</v>
      </c>
      <c r="C207" s="42">
        <v>103866</v>
      </c>
      <c r="D207" s="42" t="s">
        <v>954</v>
      </c>
      <c r="E207" s="675">
        <v>10</v>
      </c>
      <c r="F207" s="675">
        <v>815</v>
      </c>
      <c r="G207" s="676">
        <v>0</v>
      </c>
      <c r="H207" s="676">
        <v>0</v>
      </c>
      <c r="I207" s="676">
        <v>0</v>
      </c>
      <c r="J207" s="676">
        <v>500</v>
      </c>
      <c r="K207" s="676">
        <v>0</v>
      </c>
      <c r="L207" s="676">
        <v>0</v>
      </c>
      <c r="M207" s="676">
        <v>0</v>
      </c>
      <c r="N207" s="666">
        <v>0</v>
      </c>
    </row>
    <row r="208" spans="1:14" ht="18.75" hidden="1">
      <c r="A208" s="674" t="s">
        <v>632</v>
      </c>
      <c r="B208" s="42" t="s">
        <v>360</v>
      </c>
      <c r="C208" s="42">
        <v>104918</v>
      </c>
      <c r="D208" s="42" t="s">
        <v>649</v>
      </c>
      <c r="E208" s="675">
        <v>10</v>
      </c>
      <c r="F208" s="675">
        <v>820</v>
      </c>
      <c r="G208" s="676">
        <v>51</v>
      </c>
      <c r="H208" s="676">
        <v>0</v>
      </c>
      <c r="I208" s="676">
        <v>116</v>
      </c>
      <c r="J208" s="676">
        <v>0</v>
      </c>
      <c r="K208" s="676">
        <v>0</v>
      </c>
      <c r="L208" s="676">
        <v>0</v>
      </c>
      <c r="M208" s="676">
        <v>0</v>
      </c>
      <c r="N208" s="666">
        <v>51</v>
      </c>
    </row>
    <row r="209" spans="1:14" ht="18.75" hidden="1">
      <c r="A209" s="674" t="s">
        <v>632</v>
      </c>
      <c r="B209" s="42" t="s">
        <v>360</v>
      </c>
      <c r="C209" s="42">
        <v>104917</v>
      </c>
      <c r="D209" s="42" t="s">
        <v>883</v>
      </c>
      <c r="E209" s="675">
        <v>10</v>
      </c>
      <c r="F209" s="675">
        <v>870</v>
      </c>
      <c r="G209" s="676">
        <v>51</v>
      </c>
      <c r="H209" s="676">
        <v>0</v>
      </c>
      <c r="I209" s="676">
        <v>142</v>
      </c>
      <c r="J209" s="676">
        <v>0</v>
      </c>
      <c r="K209" s="676">
        <v>0</v>
      </c>
      <c r="L209" s="676">
        <v>0</v>
      </c>
      <c r="M209" s="676">
        <v>0</v>
      </c>
      <c r="N209" s="666">
        <v>51</v>
      </c>
    </row>
    <row r="210" spans="1:14" ht="18.75" hidden="1">
      <c r="A210" s="674" t="s">
        <v>632</v>
      </c>
      <c r="B210" s="42" t="s">
        <v>360</v>
      </c>
      <c r="C210" s="42">
        <v>100363</v>
      </c>
      <c r="D210" s="42" t="s">
        <v>603</v>
      </c>
      <c r="E210" s="675">
        <v>10</v>
      </c>
      <c r="F210" s="675">
        <v>975</v>
      </c>
      <c r="G210" s="676">
        <v>0</v>
      </c>
      <c r="H210" s="676">
        <v>0</v>
      </c>
      <c r="I210" s="676">
        <v>0</v>
      </c>
      <c r="J210" s="676">
        <v>0</v>
      </c>
      <c r="K210" s="676">
        <v>0</v>
      </c>
      <c r="L210" s="676">
        <v>0</v>
      </c>
      <c r="M210" s="676">
        <v>255</v>
      </c>
      <c r="N210" s="666">
        <v>255</v>
      </c>
    </row>
    <row r="211" spans="1:14" ht="18.75" hidden="1">
      <c r="A211" s="674" t="s">
        <v>632</v>
      </c>
      <c r="B211" s="42" t="s">
        <v>360</v>
      </c>
      <c r="C211" s="42">
        <v>104892</v>
      </c>
      <c r="D211" s="42" t="s">
        <v>626</v>
      </c>
      <c r="E211" s="675">
        <v>10</v>
      </c>
      <c r="F211" s="675">
        <v>1005</v>
      </c>
      <c r="G211" s="676">
        <v>867.46500000000003</v>
      </c>
      <c r="H211" s="676">
        <v>0</v>
      </c>
      <c r="I211" s="676">
        <v>122.565</v>
      </c>
      <c r="J211" s="676">
        <v>0</v>
      </c>
      <c r="K211" s="676">
        <v>0</v>
      </c>
      <c r="L211" s="676">
        <v>100.5</v>
      </c>
      <c r="M211" s="676">
        <v>0</v>
      </c>
      <c r="N211" s="666">
        <v>967.97</v>
      </c>
    </row>
    <row r="212" spans="1:14" ht="18.75" hidden="1">
      <c r="A212" s="674" t="s">
        <v>632</v>
      </c>
      <c r="B212" s="42" t="s">
        <v>360</v>
      </c>
      <c r="C212" s="42">
        <v>104702</v>
      </c>
      <c r="D212" s="42" t="s">
        <v>577</v>
      </c>
      <c r="E212" s="675">
        <v>10</v>
      </c>
      <c r="F212" s="675">
        <v>1015</v>
      </c>
      <c r="G212" s="676">
        <v>0</v>
      </c>
      <c r="H212" s="676">
        <v>0</v>
      </c>
      <c r="I212" s="676">
        <v>0</v>
      </c>
      <c r="J212" s="676">
        <v>0</v>
      </c>
      <c r="K212" s="676">
        <v>0</v>
      </c>
      <c r="L212" s="676">
        <v>340.20499999999998</v>
      </c>
      <c r="M212" s="676">
        <v>0</v>
      </c>
      <c r="N212" s="666">
        <v>340.21</v>
      </c>
    </row>
    <row r="213" spans="1:14" ht="18.75" hidden="1">
      <c r="A213" s="674" t="s">
        <v>632</v>
      </c>
      <c r="B213" s="42" t="s">
        <v>360</v>
      </c>
      <c r="C213" s="42">
        <v>104638</v>
      </c>
      <c r="D213" s="42" t="s">
        <v>607</v>
      </c>
      <c r="E213" s="675">
        <v>10</v>
      </c>
      <c r="F213" s="675">
        <v>1015</v>
      </c>
      <c r="G213" s="676">
        <v>1389.8019999999999</v>
      </c>
      <c r="H213" s="676">
        <v>0</v>
      </c>
      <c r="I213" s="676">
        <v>0</v>
      </c>
      <c r="J213" s="676">
        <v>0</v>
      </c>
      <c r="K213" s="676">
        <v>0</v>
      </c>
      <c r="L213" s="676">
        <v>0</v>
      </c>
      <c r="M213" s="676">
        <v>0</v>
      </c>
      <c r="N213" s="666">
        <v>1389.8</v>
      </c>
    </row>
    <row r="214" spans="1:14" ht="18.75" hidden="1">
      <c r="A214" s="674" t="s">
        <v>632</v>
      </c>
      <c r="B214" s="42" t="s">
        <v>360</v>
      </c>
      <c r="C214" s="42">
        <v>104366</v>
      </c>
      <c r="D214" s="42" t="s">
        <v>515</v>
      </c>
      <c r="E214" s="675">
        <v>10</v>
      </c>
      <c r="F214" s="675">
        <v>1075</v>
      </c>
      <c r="G214" s="676">
        <v>4086.2750000000001</v>
      </c>
      <c r="H214" s="676">
        <v>0</v>
      </c>
      <c r="I214" s="676">
        <v>0</v>
      </c>
      <c r="J214" s="676">
        <v>0</v>
      </c>
      <c r="K214" s="676">
        <v>0</v>
      </c>
      <c r="L214" s="676">
        <v>0</v>
      </c>
      <c r="M214" s="676">
        <v>0</v>
      </c>
      <c r="N214" s="666">
        <v>4086.28</v>
      </c>
    </row>
    <row r="215" spans="1:14" ht="18.75" hidden="1">
      <c r="A215" s="674" t="s">
        <v>632</v>
      </c>
      <c r="B215" s="42" t="s">
        <v>360</v>
      </c>
      <c r="C215" s="42">
        <v>104532</v>
      </c>
      <c r="D215" s="42" t="s">
        <v>548</v>
      </c>
      <c r="E215" s="675">
        <v>10</v>
      </c>
      <c r="F215" s="675">
        <v>1100</v>
      </c>
      <c r="G215" s="676">
        <v>3308.1750000000002</v>
      </c>
      <c r="H215" s="676">
        <v>0</v>
      </c>
      <c r="I215" s="676">
        <v>601.21</v>
      </c>
      <c r="J215" s="676">
        <v>0</v>
      </c>
      <c r="K215" s="676">
        <v>0</v>
      </c>
      <c r="L215" s="676">
        <v>0</v>
      </c>
      <c r="M215" s="676">
        <v>0</v>
      </c>
      <c r="N215" s="666">
        <v>3308.18</v>
      </c>
    </row>
    <row r="216" spans="1:14" ht="18.75" hidden="1">
      <c r="A216" s="674" t="s">
        <v>632</v>
      </c>
      <c r="B216" s="42" t="s">
        <v>360</v>
      </c>
      <c r="C216" s="42">
        <v>104405</v>
      </c>
      <c r="D216" s="42" t="s">
        <v>522</v>
      </c>
      <c r="E216" s="675">
        <v>10</v>
      </c>
      <c r="F216" s="675">
        <v>1115</v>
      </c>
      <c r="G216" s="676">
        <v>0</v>
      </c>
      <c r="H216" s="676">
        <v>0</v>
      </c>
      <c r="I216" s="676">
        <v>1140.02</v>
      </c>
      <c r="J216" s="676">
        <v>0</v>
      </c>
      <c r="K216" s="676">
        <v>0</v>
      </c>
      <c r="L216" s="676">
        <v>1406.52</v>
      </c>
      <c r="M216" s="676">
        <v>1109.3879999999999</v>
      </c>
      <c r="N216" s="666">
        <v>2515.91</v>
      </c>
    </row>
    <row r="217" spans="1:14" ht="18.75" hidden="1">
      <c r="A217" s="674" t="s">
        <v>632</v>
      </c>
      <c r="B217" s="42" t="s">
        <v>360</v>
      </c>
      <c r="C217" s="42">
        <v>103964</v>
      </c>
      <c r="D217" s="42" t="s">
        <v>490</v>
      </c>
      <c r="E217" s="675">
        <v>10</v>
      </c>
      <c r="F217" s="675">
        <v>1120</v>
      </c>
      <c r="G217" s="676">
        <v>1579.7760000000001</v>
      </c>
      <c r="H217" s="676">
        <v>0</v>
      </c>
      <c r="I217" s="676">
        <v>7307.2120000000004</v>
      </c>
      <c r="J217" s="676">
        <v>0</v>
      </c>
      <c r="K217" s="676">
        <v>0</v>
      </c>
      <c r="L217" s="676">
        <v>0</v>
      </c>
      <c r="M217" s="676">
        <v>0</v>
      </c>
      <c r="N217" s="666">
        <v>1579.78</v>
      </c>
    </row>
    <row r="218" spans="1:14" ht="18.75" hidden="1">
      <c r="A218" s="674" t="s">
        <v>632</v>
      </c>
      <c r="B218" s="42" t="s">
        <v>360</v>
      </c>
      <c r="C218" s="42">
        <v>104609</v>
      </c>
      <c r="D218" s="42" t="s">
        <v>861</v>
      </c>
      <c r="E218" s="675">
        <v>10</v>
      </c>
      <c r="F218" s="675">
        <v>1165</v>
      </c>
      <c r="G218" s="676">
        <v>216</v>
      </c>
      <c r="H218" s="676">
        <v>0</v>
      </c>
      <c r="I218" s="676">
        <v>2172.2359999999999</v>
      </c>
      <c r="J218" s="676">
        <v>1861.76</v>
      </c>
      <c r="K218" s="676">
        <v>0</v>
      </c>
      <c r="L218" s="676">
        <v>0</v>
      </c>
      <c r="M218" s="676">
        <v>0</v>
      </c>
      <c r="N218" s="666">
        <v>216</v>
      </c>
    </row>
    <row r="219" spans="1:14" ht="18.75" hidden="1">
      <c r="A219" s="674" t="s">
        <v>632</v>
      </c>
      <c r="B219" s="42" t="s">
        <v>360</v>
      </c>
      <c r="C219" s="42">
        <v>104677</v>
      </c>
      <c r="D219" s="42" t="s">
        <v>574</v>
      </c>
      <c r="E219" s="675">
        <v>10</v>
      </c>
      <c r="F219" s="675">
        <v>1225</v>
      </c>
      <c r="G219" s="676">
        <v>104.96</v>
      </c>
      <c r="H219" s="676">
        <v>0</v>
      </c>
      <c r="I219" s="676">
        <v>0</v>
      </c>
      <c r="J219" s="676">
        <v>0</v>
      </c>
      <c r="K219" s="676">
        <v>0</v>
      </c>
      <c r="L219" s="676">
        <v>0</v>
      </c>
      <c r="M219" s="676">
        <v>0</v>
      </c>
      <c r="N219" s="666">
        <v>104.96</v>
      </c>
    </row>
    <row r="220" spans="1:14" ht="18.75" hidden="1">
      <c r="A220" s="674" t="s">
        <v>632</v>
      </c>
      <c r="B220" s="42" t="s">
        <v>360</v>
      </c>
      <c r="C220" s="42">
        <v>102852</v>
      </c>
      <c r="D220" s="42" t="s">
        <v>679</v>
      </c>
      <c r="E220" s="675">
        <v>12</v>
      </c>
      <c r="F220" s="675">
        <v>405</v>
      </c>
      <c r="G220" s="676">
        <v>16.3</v>
      </c>
      <c r="H220" s="676">
        <v>0</v>
      </c>
      <c r="I220" s="676">
        <v>0</v>
      </c>
      <c r="J220" s="676">
        <v>0</v>
      </c>
      <c r="K220" s="676">
        <v>0</v>
      </c>
      <c r="L220" s="676">
        <v>0</v>
      </c>
      <c r="M220" s="676">
        <v>0</v>
      </c>
      <c r="N220" s="666">
        <v>16.3</v>
      </c>
    </row>
    <row r="221" spans="1:14" ht="18.75" hidden="1">
      <c r="A221" s="674" t="s">
        <v>632</v>
      </c>
      <c r="B221" s="42" t="s">
        <v>360</v>
      </c>
      <c r="C221" s="42">
        <v>103873</v>
      </c>
      <c r="D221" s="42" t="s">
        <v>759</v>
      </c>
      <c r="E221" s="675">
        <v>12</v>
      </c>
      <c r="F221" s="675">
        <v>415</v>
      </c>
      <c r="G221" s="676">
        <v>67.400000000000006</v>
      </c>
      <c r="H221" s="676">
        <v>0</v>
      </c>
      <c r="I221" s="676">
        <v>46.3</v>
      </c>
      <c r="J221" s="676">
        <v>0</v>
      </c>
      <c r="K221" s="676">
        <v>0</v>
      </c>
      <c r="L221" s="676">
        <v>0</v>
      </c>
      <c r="M221" s="676">
        <v>0</v>
      </c>
      <c r="N221" s="666">
        <v>67.400000000000006</v>
      </c>
    </row>
    <row r="222" spans="1:14" ht="18.75" hidden="1">
      <c r="A222" s="674" t="s">
        <v>632</v>
      </c>
      <c r="B222" s="42" t="s">
        <v>360</v>
      </c>
      <c r="C222" s="42">
        <v>105229</v>
      </c>
      <c r="D222" s="42" t="s">
        <v>887</v>
      </c>
      <c r="E222" s="675">
        <v>12</v>
      </c>
      <c r="F222" s="675">
        <v>455</v>
      </c>
      <c r="G222" s="676">
        <v>31.5</v>
      </c>
      <c r="H222" s="676">
        <v>0</v>
      </c>
      <c r="I222" s="676">
        <v>74.5</v>
      </c>
      <c r="J222" s="676">
        <v>0</v>
      </c>
      <c r="K222" s="676">
        <v>0</v>
      </c>
      <c r="L222" s="676">
        <v>0</v>
      </c>
      <c r="M222" s="676">
        <v>0</v>
      </c>
      <c r="N222" s="666">
        <v>31.5</v>
      </c>
    </row>
    <row r="223" spans="1:14" ht="18.75" hidden="1">
      <c r="A223" s="674" t="s">
        <v>632</v>
      </c>
      <c r="B223" s="42" t="s">
        <v>360</v>
      </c>
      <c r="C223" s="42">
        <v>101458</v>
      </c>
      <c r="D223" s="42" t="s">
        <v>507</v>
      </c>
      <c r="E223" s="675">
        <v>12</v>
      </c>
      <c r="F223" s="675">
        <v>515</v>
      </c>
      <c r="G223" s="676">
        <v>0</v>
      </c>
      <c r="H223" s="676">
        <v>0</v>
      </c>
      <c r="I223" s="676">
        <v>0</v>
      </c>
      <c r="J223" s="676">
        <v>0</v>
      </c>
      <c r="K223" s="676">
        <v>0</v>
      </c>
      <c r="L223" s="676">
        <v>24.2</v>
      </c>
      <c r="M223" s="676">
        <v>0</v>
      </c>
      <c r="N223" s="666">
        <v>24.2</v>
      </c>
    </row>
    <row r="224" spans="1:14" ht="18.75" hidden="1">
      <c r="A224" s="674" t="s">
        <v>632</v>
      </c>
      <c r="B224" s="42" t="s">
        <v>360</v>
      </c>
      <c r="C224" s="42">
        <v>101060</v>
      </c>
      <c r="D224" s="42" t="s">
        <v>494</v>
      </c>
      <c r="E224" s="675">
        <v>12</v>
      </c>
      <c r="F224" s="675">
        <v>535</v>
      </c>
      <c r="G224" s="676">
        <v>0</v>
      </c>
      <c r="H224" s="676">
        <v>0</v>
      </c>
      <c r="I224" s="676">
        <v>0</v>
      </c>
      <c r="J224" s="676">
        <v>0</v>
      </c>
      <c r="K224" s="676">
        <v>0</v>
      </c>
      <c r="L224" s="676">
        <v>25.2</v>
      </c>
      <c r="M224" s="676">
        <v>0</v>
      </c>
      <c r="N224" s="666">
        <v>25.2</v>
      </c>
    </row>
    <row r="225" spans="1:14" ht="18.75" hidden="1">
      <c r="A225" s="674" t="s">
        <v>632</v>
      </c>
      <c r="B225" s="42" t="s">
        <v>360</v>
      </c>
      <c r="C225" s="42">
        <v>101009</v>
      </c>
      <c r="D225" s="42" t="s">
        <v>655</v>
      </c>
      <c r="E225" s="675">
        <v>12</v>
      </c>
      <c r="F225" s="675">
        <v>540</v>
      </c>
      <c r="G225" s="676">
        <v>94.2</v>
      </c>
      <c r="H225" s="676">
        <v>0</v>
      </c>
      <c r="I225" s="676">
        <v>0</v>
      </c>
      <c r="J225" s="676">
        <v>0</v>
      </c>
      <c r="K225" s="676">
        <v>0</v>
      </c>
      <c r="L225" s="676">
        <v>0</v>
      </c>
      <c r="M225" s="676">
        <v>0</v>
      </c>
      <c r="N225" s="666">
        <v>94.2</v>
      </c>
    </row>
    <row r="226" spans="1:14" ht="18.75" hidden="1">
      <c r="A226" s="674" t="s">
        <v>632</v>
      </c>
      <c r="B226" s="42" t="s">
        <v>360</v>
      </c>
      <c r="C226" s="42">
        <v>104908</v>
      </c>
      <c r="D226" s="42" t="s">
        <v>628</v>
      </c>
      <c r="E226" s="675">
        <v>12</v>
      </c>
      <c r="F226" s="675">
        <v>565</v>
      </c>
      <c r="G226" s="676">
        <v>114</v>
      </c>
      <c r="H226" s="676">
        <v>0</v>
      </c>
      <c r="I226" s="676">
        <v>489.2</v>
      </c>
      <c r="J226" s="676">
        <v>0</v>
      </c>
      <c r="K226" s="676">
        <v>0</v>
      </c>
      <c r="L226" s="676">
        <v>0</v>
      </c>
      <c r="M226" s="676">
        <v>0</v>
      </c>
      <c r="N226" s="666">
        <v>114</v>
      </c>
    </row>
    <row r="227" spans="1:14" ht="18.75" hidden="1">
      <c r="A227" s="674" t="s">
        <v>632</v>
      </c>
      <c r="B227" s="42" t="s">
        <v>360</v>
      </c>
      <c r="C227" s="42">
        <v>101536</v>
      </c>
      <c r="D227" s="42" t="s">
        <v>747</v>
      </c>
      <c r="E227" s="675">
        <v>12</v>
      </c>
      <c r="F227" s="675">
        <v>575</v>
      </c>
      <c r="G227" s="676">
        <v>66</v>
      </c>
      <c r="H227" s="676">
        <v>0</v>
      </c>
      <c r="I227" s="676">
        <v>0</v>
      </c>
      <c r="J227" s="676">
        <v>0</v>
      </c>
      <c r="K227" s="676">
        <v>0</v>
      </c>
      <c r="L227" s="676">
        <v>0</v>
      </c>
      <c r="M227" s="676">
        <v>0</v>
      </c>
      <c r="N227" s="666">
        <v>66</v>
      </c>
    </row>
    <row r="228" spans="1:14" ht="18.75" hidden="1">
      <c r="A228" s="674" t="s">
        <v>632</v>
      </c>
      <c r="B228" s="42" t="s">
        <v>360</v>
      </c>
      <c r="C228" s="42">
        <v>104503</v>
      </c>
      <c r="D228" s="42" t="s">
        <v>869</v>
      </c>
      <c r="E228" s="675">
        <v>12</v>
      </c>
      <c r="F228" s="675">
        <v>580</v>
      </c>
      <c r="G228" s="676">
        <v>33.5</v>
      </c>
      <c r="H228" s="676">
        <v>0</v>
      </c>
      <c r="I228" s="676">
        <v>412.1</v>
      </c>
      <c r="J228" s="676">
        <v>0</v>
      </c>
      <c r="K228" s="676">
        <v>0</v>
      </c>
      <c r="L228" s="676">
        <v>0</v>
      </c>
      <c r="M228" s="676">
        <v>0</v>
      </c>
      <c r="N228" s="666">
        <v>33.5</v>
      </c>
    </row>
    <row r="229" spans="1:14" ht="18.75" hidden="1">
      <c r="A229" s="674" t="s">
        <v>632</v>
      </c>
      <c r="B229" s="42" t="s">
        <v>360</v>
      </c>
      <c r="C229" s="42">
        <v>103315</v>
      </c>
      <c r="D229" s="42" t="s">
        <v>656</v>
      </c>
      <c r="E229" s="675">
        <v>12</v>
      </c>
      <c r="F229" s="675">
        <v>620</v>
      </c>
      <c r="G229" s="676">
        <v>0</v>
      </c>
      <c r="H229" s="676">
        <v>0</v>
      </c>
      <c r="I229" s="676">
        <v>0</v>
      </c>
      <c r="J229" s="676">
        <v>0</v>
      </c>
      <c r="K229" s="676">
        <v>0</v>
      </c>
      <c r="L229" s="676">
        <v>23</v>
      </c>
      <c r="M229" s="676">
        <v>0</v>
      </c>
      <c r="N229" s="666">
        <v>23</v>
      </c>
    </row>
    <row r="230" spans="1:14" ht="18.75" hidden="1">
      <c r="A230" s="674" t="s">
        <v>632</v>
      </c>
      <c r="B230" s="42" t="s">
        <v>360</v>
      </c>
      <c r="C230" s="42">
        <v>100331</v>
      </c>
      <c r="D230" s="42" t="s">
        <v>553</v>
      </c>
      <c r="E230" s="675">
        <v>12</v>
      </c>
      <c r="F230" s="675">
        <v>650</v>
      </c>
      <c r="G230" s="676">
        <v>0</v>
      </c>
      <c r="H230" s="676">
        <v>0</v>
      </c>
      <c r="I230" s="676">
        <v>1541.4190000000001</v>
      </c>
      <c r="J230" s="676">
        <v>0</v>
      </c>
      <c r="K230" s="676">
        <v>0</v>
      </c>
      <c r="L230" s="676">
        <v>739.96</v>
      </c>
      <c r="M230" s="676">
        <v>0</v>
      </c>
      <c r="N230" s="666">
        <v>739.96</v>
      </c>
    </row>
    <row r="231" spans="1:14" ht="18.75" hidden="1">
      <c r="A231" s="674" t="s">
        <v>632</v>
      </c>
      <c r="B231" s="42" t="s">
        <v>360</v>
      </c>
      <c r="C231" s="42">
        <v>103154</v>
      </c>
      <c r="D231" s="42" t="s">
        <v>439</v>
      </c>
      <c r="E231" s="675">
        <v>12</v>
      </c>
      <c r="F231" s="675">
        <v>680</v>
      </c>
      <c r="G231" s="676">
        <v>2501.5309999999999</v>
      </c>
      <c r="H231" s="676">
        <v>0</v>
      </c>
      <c r="I231" s="676">
        <v>1453.7619999999999</v>
      </c>
      <c r="J231" s="676">
        <v>0</v>
      </c>
      <c r="K231" s="676">
        <v>0</v>
      </c>
      <c r="L231" s="676">
        <v>9</v>
      </c>
      <c r="M231" s="676">
        <v>409.279</v>
      </c>
      <c r="N231" s="666">
        <v>2919.81</v>
      </c>
    </row>
    <row r="232" spans="1:14" ht="18.75" hidden="1">
      <c r="A232" s="674" t="s">
        <v>632</v>
      </c>
      <c r="B232" s="42" t="s">
        <v>360</v>
      </c>
      <c r="C232" s="42">
        <v>100868</v>
      </c>
      <c r="D232" s="42" t="s">
        <v>428</v>
      </c>
      <c r="E232" s="675">
        <v>12</v>
      </c>
      <c r="F232" s="675">
        <v>695</v>
      </c>
      <c r="G232" s="676">
        <v>1100.4670000000001</v>
      </c>
      <c r="H232" s="676">
        <v>0</v>
      </c>
      <c r="I232" s="676">
        <v>1022.3339999999999</v>
      </c>
      <c r="J232" s="676">
        <v>0</v>
      </c>
      <c r="K232" s="676">
        <v>0</v>
      </c>
      <c r="L232" s="676">
        <v>0</v>
      </c>
      <c r="M232" s="676">
        <v>0</v>
      </c>
      <c r="N232" s="666">
        <v>1100.47</v>
      </c>
    </row>
    <row r="233" spans="1:14" ht="18.75" hidden="1">
      <c r="A233" s="674" t="s">
        <v>632</v>
      </c>
      <c r="B233" s="42" t="s">
        <v>360</v>
      </c>
      <c r="C233" s="42">
        <v>101740</v>
      </c>
      <c r="D233" s="42" t="s">
        <v>440</v>
      </c>
      <c r="E233" s="675">
        <v>12</v>
      </c>
      <c r="F233" s="675">
        <v>705</v>
      </c>
      <c r="G233" s="676">
        <v>66.8</v>
      </c>
      <c r="H233" s="676">
        <v>0</v>
      </c>
      <c r="I233" s="676">
        <v>509.79899999999998</v>
      </c>
      <c r="J233" s="676">
        <v>0</v>
      </c>
      <c r="K233" s="676">
        <v>0</v>
      </c>
      <c r="L233" s="676">
        <v>6.8</v>
      </c>
      <c r="M233" s="676">
        <v>0</v>
      </c>
      <c r="N233" s="666">
        <v>73.599999999999994</v>
      </c>
    </row>
    <row r="234" spans="1:14" ht="18.75" hidden="1">
      <c r="A234" s="674" t="s">
        <v>632</v>
      </c>
      <c r="B234" s="42" t="s">
        <v>360</v>
      </c>
      <c r="C234" s="42">
        <v>100712</v>
      </c>
      <c r="D234" s="42" t="s">
        <v>511</v>
      </c>
      <c r="E234" s="675">
        <v>12</v>
      </c>
      <c r="F234" s="675">
        <v>715</v>
      </c>
      <c r="G234" s="676">
        <v>0</v>
      </c>
      <c r="H234" s="676">
        <v>0</v>
      </c>
      <c r="I234" s="676">
        <v>0</v>
      </c>
      <c r="J234" s="676">
        <v>0</v>
      </c>
      <c r="K234" s="676">
        <v>0</v>
      </c>
      <c r="L234" s="676">
        <v>0</v>
      </c>
      <c r="M234" s="676">
        <v>46.8</v>
      </c>
      <c r="N234" s="666">
        <v>46.8</v>
      </c>
    </row>
    <row r="235" spans="1:14" ht="18.75" hidden="1">
      <c r="A235" s="674" t="s">
        <v>632</v>
      </c>
      <c r="B235" s="42" t="s">
        <v>360</v>
      </c>
      <c r="C235" s="42">
        <v>102986</v>
      </c>
      <c r="D235" s="42" t="s">
        <v>425</v>
      </c>
      <c r="E235" s="675">
        <v>12</v>
      </c>
      <c r="F235" s="675">
        <v>735</v>
      </c>
      <c r="G235" s="676">
        <v>294.15600000000001</v>
      </c>
      <c r="H235" s="676">
        <v>0</v>
      </c>
      <c r="I235" s="676">
        <v>1248.3520000000001</v>
      </c>
      <c r="J235" s="676">
        <v>0</v>
      </c>
      <c r="K235" s="676">
        <v>0</v>
      </c>
      <c r="L235" s="676">
        <v>32.4</v>
      </c>
      <c r="M235" s="676">
        <v>0</v>
      </c>
      <c r="N235" s="666">
        <v>326.56</v>
      </c>
    </row>
    <row r="236" spans="1:14" ht="18.75" hidden="1">
      <c r="A236" s="674" t="s">
        <v>632</v>
      </c>
      <c r="B236" s="42" t="s">
        <v>360</v>
      </c>
      <c r="C236" s="42">
        <v>103196</v>
      </c>
      <c r="D236" s="42" t="s">
        <v>442</v>
      </c>
      <c r="E236" s="675">
        <v>12</v>
      </c>
      <c r="F236" s="675">
        <v>775</v>
      </c>
      <c r="G236" s="676">
        <v>1349.672</v>
      </c>
      <c r="H236" s="676">
        <v>0</v>
      </c>
      <c r="I236" s="676">
        <v>514.77200000000005</v>
      </c>
      <c r="J236" s="676">
        <v>0</v>
      </c>
      <c r="K236" s="676">
        <v>0</v>
      </c>
      <c r="L236" s="676">
        <v>0</v>
      </c>
      <c r="M236" s="676">
        <v>0</v>
      </c>
      <c r="N236" s="666">
        <v>1349.67</v>
      </c>
    </row>
    <row r="237" spans="1:14" ht="18.75" hidden="1">
      <c r="A237" s="674" t="s">
        <v>632</v>
      </c>
      <c r="B237" s="42" t="s">
        <v>360</v>
      </c>
      <c r="C237" s="42">
        <v>100341</v>
      </c>
      <c r="D237" s="42" t="s">
        <v>554</v>
      </c>
      <c r="E237" s="675">
        <v>12</v>
      </c>
      <c r="F237" s="675">
        <v>790</v>
      </c>
      <c r="G237" s="676">
        <v>0</v>
      </c>
      <c r="H237" s="676">
        <v>0</v>
      </c>
      <c r="I237" s="676">
        <v>5189.5940000000001</v>
      </c>
      <c r="J237" s="676">
        <v>3500</v>
      </c>
      <c r="K237" s="676">
        <v>0</v>
      </c>
      <c r="L237" s="676">
        <v>224</v>
      </c>
      <c r="M237" s="676">
        <v>0</v>
      </c>
      <c r="N237" s="666">
        <v>224</v>
      </c>
    </row>
    <row r="238" spans="1:14" ht="18.75" hidden="1">
      <c r="A238" s="674" t="s">
        <v>632</v>
      </c>
      <c r="B238" s="42" t="s">
        <v>360</v>
      </c>
      <c r="C238" s="42">
        <v>100667</v>
      </c>
      <c r="D238" s="42" t="s">
        <v>729</v>
      </c>
      <c r="E238" s="675">
        <v>12</v>
      </c>
      <c r="F238" s="675">
        <v>795</v>
      </c>
      <c r="G238" s="676">
        <v>0</v>
      </c>
      <c r="H238" s="676">
        <v>0</v>
      </c>
      <c r="I238" s="676">
        <v>1256.3399999999999</v>
      </c>
      <c r="J238" s="676">
        <v>0</v>
      </c>
      <c r="K238" s="676">
        <v>0</v>
      </c>
      <c r="L238" s="676">
        <v>0</v>
      </c>
      <c r="M238" s="676">
        <v>0</v>
      </c>
      <c r="N238" s="666">
        <v>0</v>
      </c>
    </row>
    <row r="239" spans="1:14" ht="18.75" hidden="1">
      <c r="A239" s="674" t="s">
        <v>632</v>
      </c>
      <c r="B239" s="42" t="s">
        <v>360</v>
      </c>
      <c r="C239" s="42">
        <v>100330</v>
      </c>
      <c r="D239" s="42" t="s">
        <v>555</v>
      </c>
      <c r="E239" s="675">
        <v>12</v>
      </c>
      <c r="F239" s="675">
        <v>810</v>
      </c>
      <c r="G239" s="676">
        <v>645.79999999999995</v>
      </c>
      <c r="H239" s="676">
        <v>0</v>
      </c>
      <c r="I239" s="676">
        <v>2334.3470000000002</v>
      </c>
      <c r="J239" s="676">
        <v>750</v>
      </c>
      <c r="K239" s="676">
        <v>0</v>
      </c>
      <c r="L239" s="676">
        <v>0</v>
      </c>
      <c r="M239" s="676">
        <v>0</v>
      </c>
      <c r="N239" s="666">
        <v>645.79999999999995</v>
      </c>
    </row>
    <row r="240" spans="1:14" ht="18.75" hidden="1">
      <c r="A240" s="674" t="s">
        <v>632</v>
      </c>
      <c r="B240" s="42" t="s">
        <v>360</v>
      </c>
      <c r="C240" s="42">
        <v>103245</v>
      </c>
      <c r="D240" s="42" t="s">
        <v>445</v>
      </c>
      <c r="E240" s="675">
        <v>12</v>
      </c>
      <c r="F240" s="675">
        <v>825</v>
      </c>
      <c r="G240" s="676">
        <v>1707.703</v>
      </c>
      <c r="H240" s="676">
        <v>0</v>
      </c>
      <c r="I240" s="676">
        <v>509.70699999999999</v>
      </c>
      <c r="J240" s="676">
        <v>0</v>
      </c>
      <c r="K240" s="676">
        <v>0</v>
      </c>
      <c r="L240" s="676">
        <v>0</v>
      </c>
      <c r="M240" s="676">
        <v>0</v>
      </c>
      <c r="N240" s="666">
        <v>1707.7</v>
      </c>
    </row>
    <row r="241" spans="1:14" ht="18.75" hidden="1">
      <c r="A241" s="674" t="s">
        <v>632</v>
      </c>
      <c r="B241" s="42" t="s">
        <v>360</v>
      </c>
      <c r="C241" s="42">
        <v>100013</v>
      </c>
      <c r="D241" s="42" t="s">
        <v>556</v>
      </c>
      <c r="E241" s="675">
        <v>12</v>
      </c>
      <c r="F241" s="675">
        <v>850</v>
      </c>
      <c r="G241" s="676">
        <v>4522.3</v>
      </c>
      <c r="H241" s="676">
        <v>0</v>
      </c>
      <c r="I241" s="676">
        <v>694.88199999999995</v>
      </c>
      <c r="J241" s="676">
        <v>0</v>
      </c>
      <c r="K241" s="676">
        <v>0</v>
      </c>
      <c r="L241" s="676">
        <v>0</v>
      </c>
      <c r="M241" s="676">
        <v>192.2</v>
      </c>
      <c r="N241" s="666">
        <v>4714.5</v>
      </c>
    </row>
    <row r="242" spans="1:14" ht="18.75" hidden="1">
      <c r="A242" s="674" t="s">
        <v>632</v>
      </c>
      <c r="B242" s="42" t="s">
        <v>360</v>
      </c>
      <c r="C242" s="42">
        <v>100721</v>
      </c>
      <c r="D242" s="42" t="s">
        <v>434</v>
      </c>
      <c r="E242" s="675">
        <v>12</v>
      </c>
      <c r="F242" s="675">
        <v>855</v>
      </c>
      <c r="G242" s="676">
        <v>1357.848</v>
      </c>
      <c r="H242" s="676">
        <v>0</v>
      </c>
      <c r="I242" s="676">
        <v>0</v>
      </c>
      <c r="J242" s="676">
        <v>0</v>
      </c>
      <c r="K242" s="676">
        <v>0</v>
      </c>
      <c r="L242" s="676">
        <v>0</v>
      </c>
      <c r="M242" s="676">
        <v>0</v>
      </c>
      <c r="N242" s="666">
        <v>1357.85</v>
      </c>
    </row>
    <row r="243" spans="1:14" ht="18.75" hidden="1">
      <c r="A243" s="674" t="s">
        <v>632</v>
      </c>
      <c r="B243" s="42" t="s">
        <v>360</v>
      </c>
      <c r="C243" s="42">
        <v>101304</v>
      </c>
      <c r="D243" s="42" t="s">
        <v>476</v>
      </c>
      <c r="E243" s="675">
        <v>12</v>
      </c>
      <c r="F243" s="675">
        <v>865</v>
      </c>
      <c r="G243" s="676">
        <v>3364.38</v>
      </c>
      <c r="H243" s="676">
        <v>0</v>
      </c>
      <c r="I243" s="676">
        <v>0</v>
      </c>
      <c r="J243" s="676">
        <v>0</v>
      </c>
      <c r="K243" s="676">
        <v>0</v>
      </c>
      <c r="L243" s="676">
        <v>0</v>
      </c>
      <c r="M243" s="676">
        <v>0</v>
      </c>
      <c r="N243" s="666">
        <v>3364.38</v>
      </c>
    </row>
    <row r="244" spans="1:14" ht="18.75" hidden="1">
      <c r="A244" s="674" t="s">
        <v>632</v>
      </c>
      <c r="B244" s="42" t="s">
        <v>360</v>
      </c>
      <c r="C244" s="42">
        <v>100453</v>
      </c>
      <c r="D244" s="42" t="s">
        <v>444</v>
      </c>
      <c r="E244" s="675">
        <v>12</v>
      </c>
      <c r="F244" s="675">
        <v>900</v>
      </c>
      <c r="G244" s="676">
        <v>1480.6179999999999</v>
      </c>
      <c r="H244" s="676">
        <v>0</v>
      </c>
      <c r="I244" s="676">
        <v>1725.877</v>
      </c>
      <c r="J244" s="676">
        <v>0</v>
      </c>
      <c r="K244" s="676">
        <v>0</v>
      </c>
      <c r="L244" s="676">
        <v>0</v>
      </c>
      <c r="M244" s="676">
        <v>0</v>
      </c>
      <c r="N244" s="666">
        <v>1480.62</v>
      </c>
    </row>
    <row r="245" spans="1:14" ht="18.75" hidden="1">
      <c r="A245" s="674" t="s">
        <v>632</v>
      </c>
      <c r="B245" s="42" t="s">
        <v>360</v>
      </c>
      <c r="C245" s="42">
        <v>100622</v>
      </c>
      <c r="D245" s="42" t="s">
        <v>557</v>
      </c>
      <c r="E245" s="675">
        <v>12</v>
      </c>
      <c r="F245" s="675">
        <v>910</v>
      </c>
      <c r="G245" s="676">
        <v>2011.604</v>
      </c>
      <c r="H245" s="676">
        <v>0</v>
      </c>
      <c r="I245" s="676">
        <v>1907.0640000000001</v>
      </c>
      <c r="J245" s="676">
        <v>0</v>
      </c>
      <c r="K245" s="676">
        <v>0</v>
      </c>
      <c r="L245" s="676">
        <v>564.32600000000002</v>
      </c>
      <c r="M245" s="676">
        <v>0</v>
      </c>
      <c r="N245" s="666">
        <v>2575.9299999999998</v>
      </c>
    </row>
    <row r="246" spans="1:14" ht="18.75" hidden="1">
      <c r="A246" s="674" t="s">
        <v>632</v>
      </c>
      <c r="B246" s="42" t="s">
        <v>360</v>
      </c>
      <c r="C246" s="42">
        <v>100659</v>
      </c>
      <c r="D246" s="42" t="s">
        <v>435</v>
      </c>
      <c r="E246" s="675">
        <v>12</v>
      </c>
      <c r="F246" s="675">
        <v>915</v>
      </c>
      <c r="G246" s="676">
        <v>0</v>
      </c>
      <c r="H246" s="676">
        <v>0</v>
      </c>
      <c r="I246" s="676">
        <v>0</v>
      </c>
      <c r="J246" s="676">
        <v>0</v>
      </c>
      <c r="K246" s="676">
        <v>0</v>
      </c>
      <c r="L246" s="676">
        <v>60</v>
      </c>
      <c r="M246" s="676">
        <v>0</v>
      </c>
      <c r="N246" s="666">
        <v>60</v>
      </c>
    </row>
    <row r="247" spans="1:14" ht="18.75" hidden="1">
      <c r="A247" s="674" t="s">
        <v>632</v>
      </c>
      <c r="B247" s="42" t="s">
        <v>360</v>
      </c>
      <c r="C247" s="42">
        <v>103600</v>
      </c>
      <c r="D247" s="42" t="s">
        <v>465</v>
      </c>
      <c r="E247" s="675">
        <v>12</v>
      </c>
      <c r="F247" s="675">
        <v>935</v>
      </c>
      <c r="G247" s="676">
        <v>989.51400000000001</v>
      </c>
      <c r="H247" s="676">
        <v>0</v>
      </c>
      <c r="I247" s="676">
        <v>2038.655</v>
      </c>
      <c r="J247" s="676">
        <v>1000</v>
      </c>
      <c r="K247" s="676">
        <v>0</v>
      </c>
      <c r="L247" s="676">
        <v>0</v>
      </c>
      <c r="M247" s="676">
        <v>0</v>
      </c>
      <c r="N247" s="666">
        <v>989.51</v>
      </c>
    </row>
    <row r="248" spans="1:14" ht="18.75" hidden="1">
      <c r="A248" s="674" t="s">
        <v>632</v>
      </c>
      <c r="B248" s="42" t="s">
        <v>360</v>
      </c>
      <c r="C248" s="42">
        <v>100014</v>
      </c>
      <c r="D248" s="42" t="s">
        <v>558</v>
      </c>
      <c r="E248" s="675">
        <v>12</v>
      </c>
      <c r="F248" s="675">
        <v>970</v>
      </c>
      <c r="G248" s="676">
        <v>1571.2760000000001</v>
      </c>
      <c r="H248" s="676">
        <v>0</v>
      </c>
      <c r="I248" s="676">
        <v>1142.1289999999999</v>
      </c>
      <c r="J248" s="676">
        <v>0</v>
      </c>
      <c r="K248" s="676">
        <v>0</v>
      </c>
      <c r="L248" s="676">
        <v>84.8</v>
      </c>
      <c r="M248" s="676">
        <v>384.89</v>
      </c>
      <c r="N248" s="666">
        <v>2040.97</v>
      </c>
    </row>
    <row r="249" spans="1:14" ht="18.75" hidden="1">
      <c r="A249" s="674" t="s">
        <v>632</v>
      </c>
      <c r="B249" s="42" t="s">
        <v>360</v>
      </c>
      <c r="C249" s="42">
        <v>100015</v>
      </c>
      <c r="D249" s="42" t="s">
        <v>782</v>
      </c>
      <c r="E249" s="675">
        <v>12</v>
      </c>
      <c r="F249" s="675">
        <v>975</v>
      </c>
      <c r="G249" s="676">
        <v>901.13900000000001</v>
      </c>
      <c r="H249" s="676">
        <v>0</v>
      </c>
      <c r="I249" s="676">
        <v>1659.29</v>
      </c>
      <c r="J249" s="676">
        <v>0</v>
      </c>
      <c r="K249" s="676">
        <v>0</v>
      </c>
      <c r="L249" s="676">
        <v>0</v>
      </c>
      <c r="M249" s="676">
        <v>0</v>
      </c>
      <c r="N249" s="666">
        <v>901.14</v>
      </c>
    </row>
    <row r="250" spans="1:14" ht="18.75" hidden="1">
      <c r="A250" s="674" t="s">
        <v>632</v>
      </c>
      <c r="B250" s="42" t="s">
        <v>360</v>
      </c>
      <c r="C250" s="42">
        <v>100210</v>
      </c>
      <c r="D250" s="42" t="s">
        <v>429</v>
      </c>
      <c r="E250" s="675">
        <v>12</v>
      </c>
      <c r="F250" s="675">
        <v>990</v>
      </c>
      <c r="G250" s="676">
        <v>2408.25</v>
      </c>
      <c r="H250" s="676">
        <v>0</v>
      </c>
      <c r="I250" s="676">
        <v>0</v>
      </c>
      <c r="J250" s="676">
        <v>0</v>
      </c>
      <c r="K250" s="676">
        <v>0</v>
      </c>
      <c r="L250" s="676">
        <v>0</v>
      </c>
      <c r="M250" s="676">
        <v>0</v>
      </c>
      <c r="N250" s="666">
        <v>2408.25</v>
      </c>
    </row>
    <row r="251" spans="1:14" ht="18.75" hidden="1">
      <c r="A251" s="674" t="s">
        <v>632</v>
      </c>
      <c r="B251" s="42" t="s">
        <v>360</v>
      </c>
      <c r="C251" s="42">
        <v>102326</v>
      </c>
      <c r="D251" s="42" t="s">
        <v>727</v>
      </c>
      <c r="E251" s="675">
        <v>12</v>
      </c>
      <c r="F251" s="675">
        <v>1000</v>
      </c>
      <c r="G251" s="676">
        <v>0</v>
      </c>
      <c r="H251" s="676">
        <v>0</v>
      </c>
      <c r="I251" s="676">
        <v>1596.232</v>
      </c>
      <c r="J251" s="676">
        <v>0</v>
      </c>
      <c r="K251" s="676">
        <v>0</v>
      </c>
      <c r="L251" s="676">
        <v>0</v>
      </c>
      <c r="M251" s="676">
        <v>0</v>
      </c>
      <c r="N251" s="666">
        <v>0</v>
      </c>
    </row>
    <row r="252" spans="1:14" ht="18.75" hidden="1">
      <c r="A252" s="674" t="s">
        <v>632</v>
      </c>
      <c r="B252" s="42" t="s">
        <v>360</v>
      </c>
      <c r="C252" s="42">
        <v>104464</v>
      </c>
      <c r="D252" s="42" t="s">
        <v>525</v>
      </c>
      <c r="E252" s="675">
        <v>12</v>
      </c>
      <c r="F252" s="675">
        <v>1003</v>
      </c>
      <c r="G252" s="676">
        <v>0</v>
      </c>
      <c r="H252" s="676">
        <v>0</v>
      </c>
      <c r="I252" s="676">
        <v>0</v>
      </c>
      <c r="J252" s="676">
        <v>0</v>
      </c>
      <c r="K252" s="676">
        <v>0</v>
      </c>
      <c r="L252" s="676">
        <v>993.40200000000004</v>
      </c>
      <c r="M252" s="676">
        <v>0</v>
      </c>
      <c r="N252" s="666">
        <v>993.4</v>
      </c>
    </row>
    <row r="253" spans="1:14" ht="18.75" hidden="1">
      <c r="A253" s="674" t="s">
        <v>632</v>
      </c>
      <c r="B253" s="42" t="s">
        <v>360</v>
      </c>
      <c r="C253" s="42">
        <v>103443</v>
      </c>
      <c r="D253" s="42" t="s">
        <v>460</v>
      </c>
      <c r="E253" s="675">
        <v>12</v>
      </c>
      <c r="F253" s="675">
        <v>1010</v>
      </c>
      <c r="G253" s="676">
        <v>60</v>
      </c>
      <c r="H253" s="676">
        <v>0</v>
      </c>
      <c r="I253" s="676">
        <v>1812.0070000000001</v>
      </c>
      <c r="J253" s="676">
        <v>0</v>
      </c>
      <c r="K253" s="676">
        <v>0</v>
      </c>
      <c r="L253" s="676">
        <v>132</v>
      </c>
      <c r="M253" s="676">
        <v>0</v>
      </c>
      <c r="N253" s="666">
        <v>192</v>
      </c>
    </row>
    <row r="254" spans="1:14" ht="18.75" hidden="1">
      <c r="A254" s="674" t="s">
        <v>632</v>
      </c>
      <c r="B254" s="42" t="s">
        <v>360</v>
      </c>
      <c r="C254" s="42">
        <v>101339</v>
      </c>
      <c r="D254" s="42" t="s">
        <v>619</v>
      </c>
      <c r="E254" s="675">
        <v>12</v>
      </c>
      <c r="F254" s="675">
        <v>1020</v>
      </c>
      <c r="G254" s="676">
        <v>0</v>
      </c>
      <c r="H254" s="676">
        <v>0</v>
      </c>
      <c r="I254" s="676">
        <v>1481.7070000000001</v>
      </c>
      <c r="J254" s="676">
        <v>2000</v>
      </c>
      <c r="K254" s="676">
        <v>0</v>
      </c>
      <c r="L254" s="676">
        <v>0</v>
      </c>
      <c r="M254" s="676">
        <v>0</v>
      </c>
      <c r="N254" s="666">
        <v>0</v>
      </c>
    </row>
    <row r="255" spans="1:14" ht="18.75" hidden="1">
      <c r="A255" s="674" t="s">
        <v>632</v>
      </c>
      <c r="B255" s="42" t="s">
        <v>360</v>
      </c>
      <c r="C255" s="42">
        <v>102067</v>
      </c>
      <c r="D255" s="42" t="s">
        <v>361</v>
      </c>
      <c r="E255" s="675">
        <v>12</v>
      </c>
      <c r="F255" s="675">
        <v>1035</v>
      </c>
      <c r="G255" s="676">
        <v>1631.84</v>
      </c>
      <c r="H255" s="676">
        <v>0</v>
      </c>
      <c r="I255" s="676">
        <v>327</v>
      </c>
      <c r="J255" s="676">
        <v>0</v>
      </c>
      <c r="K255" s="676">
        <v>0</v>
      </c>
      <c r="L255" s="676">
        <v>0</v>
      </c>
      <c r="M255" s="676">
        <v>0</v>
      </c>
      <c r="N255" s="666">
        <v>1631.84</v>
      </c>
    </row>
    <row r="256" spans="1:14" ht="18.75" hidden="1">
      <c r="A256" s="674" t="s">
        <v>632</v>
      </c>
      <c r="B256" s="42" t="s">
        <v>360</v>
      </c>
      <c r="C256" s="42">
        <v>105103</v>
      </c>
      <c r="D256" s="42" t="s">
        <v>708</v>
      </c>
      <c r="E256" s="675">
        <v>12</v>
      </c>
      <c r="F256" s="675">
        <v>1045</v>
      </c>
      <c r="G256" s="676">
        <v>5516.3019999999997</v>
      </c>
      <c r="H256" s="676">
        <v>0</v>
      </c>
      <c r="I256" s="676">
        <v>30729.047999999999</v>
      </c>
      <c r="J256" s="676">
        <v>0</v>
      </c>
      <c r="K256" s="676">
        <v>0</v>
      </c>
      <c r="L256" s="676">
        <v>0</v>
      </c>
      <c r="M256" s="676">
        <v>0</v>
      </c>
      <c r="N256" s="666">
        <v>5516.3</v>
      </c>
    </row>
    <row r="257" spans="1:14" ht="18.75" hidden="1">
      <c r="A257" s="674" t="s">
        <v>632</v>
      </c>
      <c r="B257" s="42" t="s">
        <v>360</v>
      </c>
      <c r="C257" s="42">
        <v>100404</v>
      </c>
      <c r="D257" s="42" t="s">
        <v>462</v>
      </c>
      <c r="E257" s="675">
        <v>12</v>
      </c>
      <c r="F257" s="675">
        <v>1055</v>
      </c>
      <c r="G257" s="676">
        <v>1756.84</v>
      </c>
      <c r="H257" s="676">
        <v>0</v>
      </c>
      <c r="I257" s="676">
        <v>480.02</v>
      </c>
      <c r="J257" s="676">
        <v>0</v>
      </c>
      <c r="K257" s="676">
        <v>0</v>
      </c>
      <c r="L257" s="676">
        <v>131.6</v>
      </c>
      <c r="M257" s="676">
        <v>0</v>
      </c>
      <c r="N257" s="666">
        <v>1888.44</v>
      </c>
    </row>
    <row r="258" spans="1:14" ht="18.75" hidden="1">
      <c r="A258" s="674" t="s">
        <v>632</v>
      </c>
      <c r="B258" s="42" t="s">
        <v>360</v>
      </c>
      <c r="C258" s="42">
        <v>100017</v>
      </c>
      <c r="D258" s="42" t="s">
        <v>362</v>
      </c>
      <c r="E258" s="675">
        <v>12</v>
      </c>
      <c r="F258" s="675">
        <v>1065</v>
      </c>
      <c r="G258" s="676">
        <v>37.5</v>
      </c>
      <c r="H258" s="676">
        <v>0</v>
      </c>
      <c r="I258" s="676">
        <v>46.5</v>
      </c>
      <c r="J258" s="676">
        <v>0</v>
      </c>
      <c r="K258" s="676">
        <v>0</v>
      </c>
      <c r="L258" s="676">
        <v>0</v>
      </c>
      <c r="M258" s="676">
        <v>190</v>
      </c>
      <c r="N258" s="666">
        <v>227.5</v>
      </c>
    </row>
    <row r="259" spans="1:14" ht="18.75" hidden="1">
      <c r="A259" s="674" t="s">
        <v>632</v>
      </c>
      <c r="B259" s="42" t="s">
        <v>360</v>
      </c>
      <c r="C259" s="42">
        <v>100517</v>
      </c>
      <c r="D259" s="42" t="s">
        <v>495</v>
      </c>
      <c r="E259" s="675">
        <v>12</v>
      </c>
      <c r="F259" s="675">
        <v>1095</v>
      </c>
      <c r="G259" s="676">
        <v>2923.3359999999998</v>
      </c>
      <c r="H259" s="676">
        <v>0</v>
      </c>
      <c r="I259" s="676">
        <v>3065.6559999999999</v>
      </c>
      <c r="J259" s="676">
        <v>2500</v>
      </c>
      <c r="K259" s="676">
        <v>0</v>
      </c>
      <c r="L259" s="676">
        <v>0</v>
      </c>
      <c r="M259" s="676">
        <v>0</v>
      </c>
      <c r="N259" s="666">
        <v>2923.34</v>
      </c>
    </row>
    <row r="260" spans="1:14" ht="18.75" hidden="1">
      <c r="A260" s="674" t="s">
        <v>632</v>
      </c>
      <c r="B260" s="42" t="s">
        <v>360</v>
      </c>
      <c r="C260" s="42">
        <v>104789</v>
      </c>
      <c r="D260" s="42" t="s">
        <v>598</v>
      </c>
      <c r="E260" s="675">
        <v>12</v>
      </c>
      <c r="F260" s="675">
        <v>1115</v>
      </c>
      <c r="G260" s="676">
        <v>1272.306</v>
      </c>
      <c r="H260" s="676">
        <v>0</v>
      </c>
      <c r="I260" s="676">
        <v>0</v>
      </c>
      <c r="J260" s="676">
        <v>0</v>
      </c>
      <c r="K260" s="676">
        <v>0</v>
      </c>
      <c r="L260" s="676">
        <v>0</v>
      </c>
      <c r="M260" s="676">
        <v>0</v>
      </c>
      <c r="N260" s="666">
        <v>1272.31</v>
      </c>
    </row>
    <row r="261" spans="1:14" ht="18.75" hidden="1">
      <c r="A261" s="674" t="s">
        <v>632</v>
      </c>
      <c r="B261" s="42" t="s">
        <v>360</v>
      </c>
      <c r="C261" s="42">
        <v>100549</v>
      </c>
      <c r="D261" s="42" t="s">
        <v>599</v>
      </c>
      <c r="E261" s="675">
        <v>12</v>
      </c>
      <c r="F261" s="675">
        <v>1135</v>
      </c>
      <c r="G261" s="676">
        <v>781.08699999999999</v>
      </c>
      <c r="H261" s="676">
        <v>0</v>
      </c>
      <c r="I261" s="676">
        <v>1478.925</v>
      </c>
      <c r="J261" s="676">
        <v>0</v>
      </c>
      <c r="K261" s="676">
        <v>0</v>
      </c>
      <c r="L261" s="676">
        <v>0</v>
      </c>
      <c r="M261" s="676">
        <v>0</v>
      </c>
      <c r="N261" s="666">
        <v>781.09</v>
      </c>
    </row>
    <row r="262" spans="1:14" ht="18.75" hidden="1">
      <c r="A262" s="674" t="s">
        <v>632</v>
      </c>
      <c r="B262" s="42" t="s">
        <v>360</v>
      </c>
      <c r="C262" s="42">
        <v>104483</v>
      </c>
      <c r="D262" s="42" t="s">
        <v>527</v>
      </c>
      <c r="E262" s="675">
        <v>12</v>
      </c>
      <c r="F262" s="675">
        <v>1165</v>
      </c>
      <c r="G262" s="676">
        <v>0</v>
      </c>
      <c r="H262" s="676">
        <v>0</v>
      </c>
      <c r="I262" s="676">
        <v>0</v>
      </c>
      <c r="J262" s="676">
        <v>0</v>
      </c>
      <c r="K262" s="676">
        <v>0</v>
      </c>
      <c r="L262" s="676">
        <v>132</v>
      </c>
      <c r="M262" s="676">
        <v>0</v>
      </c>
      <c r="N262" s="666">
        <v>132</v>
      </c>
    </row>
    <row r="263" spans="1:14" ht="18.75">
      <c r="A263" s="674" t="s">
        <v>632</v>
      </c>
      <c r="B263" s="42" t="s">
        <v>360</v>
      </c>
      <c r="C263" s="42">
        <v>100393</v>
      </c>
      <c r="D263" s="42" t="s">
        <v>363</v>
      </c>
      <c r="E263" s="675">
        <v>12</v>
      </c>
      <c r="F263" s="675">
        <v>1175</v>
      </c>
      <c r="G263" s="676">
        <v>1236.6379999999999</v>
      </c>
      <c r="H263" s="676">
        <v>0</v>
      </c>
      <c r="I263" s="676">
        <v>5700.06</v>
      </c>
      <c r="J263" s="676">
        <v>0</v>
      </c>
      <c r="K263" s="676">
        <v>0</v>
      </c>
      <c r="L263" s="676">
        <v>0</v>
      </c>
      <c r="M263" s="676">
        <v>396</v>
      </c>
      <c r="N263" s="666">
        <v>1632.64</v>
      </c>
    </row>
    <row r="264" spans="1:14" ht="18.75" hidden="1">
      <c r="A264" s="674" t="s">
        <v>632</v>
      </c>
      <c r="B264" s="42" t="s">
        <v>360</v>
      </c>
      <c r="C264" s="42">
        <v>104887</v>
      </c>
      <c r="D264" s="42" t="s">
        <v>621</v>
      </c>
      <c r="E264" s="675">
        <v>12</v>
      </c>
      <c r="F264" s="675">
        <v>1185</v>
      </c>
      <c r="G264" s="676">
        <v>296</v>
      </c>
      <c r="H264" s="676">
        <v>0</v>
      </c>
      <c r="I264" s="676">
        <v>2337.41</v>
      </c>
      <c r="J264" s="676">
        <v>0</v>
      </c>
      <c r="K264" s="676">
        <v>0</v>
      </c>
      <c r="L264" s="676">
        <v>0</v>
      </c>
      <c r="M264" s="676">
        <v>0</v>
      </c>
      <c r="N264" s="666">
        <v>296</v>
      </c>
    </row>
    <row r="265" spans="1:14" ht="18.75" hidden="1">
      <c r="A265" s="674" t="s">
        <v>632</v>
      </c>
      <c r="B265" s="42" t="s">
        <v>360</v>
      </c>
      <c r="C265" s="42">
        <v>100019</v>
      </c>
      <c r="D265" s="42" t="s">
        <v>472</v>
      </c>
      <c r="E265" s="675">
        <v>12</v>
      </c>
      <c r="F265" s="675">
        <v>1215</v>
      </c>
      <c r="G265" s="676">
        <v>3176.8879999999999</v>
      </c>
      <c r="H265" s="676">
        <v>0</v>
      </c>
      <c r="I265" s="676">
        <v>1568.104</v>
      </c>
      <c r="J265" s="676">
        <v>0</v>
      </c>
      <c r="K265" s="676">
        <v>0</v>
      </c>
      <c r="L265" s="676">
        <v>0</v>
      </c>
      <c r="M265" s="676">
        <v>359</v>
      </c>
      <c r="N265" s="666">
        <v>3535.89</v>
      </c>
    </row>
    <row r="266" spans="1:14" ht="18.75" hidden="1">
      <c r="A266" s="674" t="s">
        <v>632</v>
      </c>
      <c r="B266" s="42" t="s">
        <v>364</v>
      </c>
      <c r="C266" s="42">
        <v>104326</v>
      </c>
      <c r="D266" s="42" t="s">
        <v>514</v>
      </c>
      <c r="E266" s="675">
        <v>8</v>
      </c>
      <c r="F266" s="675">
        <v>925</v>
      </c>
      <c r="G266" s="676">
        <v>1515.548</v>
      </c>
      <c r="H266" s="676">
        <v>0</v>
      </c>
      <c r="I266" s="676">
        <v>330</v>
      </c>
      <c r="J266" s="676">
        <v>0</v>
      </c>
      <c r="K266" s="676">
        <v>0</v>
      </c>
      <c r="L266" s="676">
        <v>52.5</v>
      </c>
      <c r="M266" s="676">
        <v>0</v>
      </c>
      <c r="N266" s="666">
        <v>1568.05</v>
      </c>
    </row>
    <row r="267" spans="1:14" ht="18.75" hidden="1">
      <c r="A267" s="674" t="s">
        <v>632</v>
      </c>
      <c r="B267" s="42" t="s">
        <v>364</v>
      </c>
      <c r="C267" s="42">
        <v>104508</v>
      </c>
      <c r="D267" s="42" t="s">
        <v>539</v>
      </c>
      <c r="E267" s="675">
        <v>8</v>
      </c>
      <c r="F267" s="675">
        <v>985</v>
      </c>
      <c r="G267" s="676">
        <v>5289.04</v>
      </c>
      <c r="H267" s="676">
        <v>0</v>
      </c>
      <c r="I267" s="676">
        <v>0</v>
      </c>
      <c r="J267" s="676">
        <v>0</v>
      </c>
      <c r="K267" s="676">
        <v>0</v>
      </c>
      <c r="L267" s="676">
        <v>0</v>
      </c>
      <c r="M267" s="676">
        <v>0</v>
      </c>
      <c r="N267" s="666">
        <v>5289.04</v>
      </c>
    </row>
    <row r="268" spans="1:14" ht="18.75" hidden="1">
      <c r="A268" s="674" t="s">
        <v>632</v>
      </c>
      <c r="B268" s="42" t="s">
        <v>364</v>
      </c>
      <c r="C268" s="42">
        <v>103030</v>
      </c>
      <c r="D268" s="42" t="s">
        <v>473</v>
      </c>
      <c r="E268" s="675">
        <v>8</v>
      </c>
      <c r="F268" s="675">
        <v>1010</v>
      </c>
      <c r="G268" s="676">
        <v>0</v>
      </c>
      <c r="H268" s="676">
        <v>0</v>
      </c>
      <c r="I268" s="676">
        <v>0</v>
      </c>
      <c r="J268" s="676">
        <v>0</v>
      </c>
      <c r="K268" s="676">
        <v>0</v>
      </c>
      <c r="L268" s="676">
        <v>409.53100000000001</v>
      </c>
      <c r="M268" s="676">
        <v>0</v>
      </c>
      <c r="N268" s="666">
        <v>409.53</v>
      </c>
    </row>
    <row r="269" spans="1:14" ht="18.75" hidden="1">
      <c r="A269" s="674" t="s">
        <v>632</v>
      </c>
      <c r="B269" s="42" t="s">
        <v>364</v>
      </c>
      <c r="C269" s="42">
        <v>104651</v>
      </c>
      <c r="D269" s="42" t="s">
        <v>592</v>
      </c>
      <c r="E269" s="675">
        <v>8</v>
      </c>
      <c r="F269" s="675">
        <v>1035</v>
      </c>
      <c r="G269" s="676">
        <v>858.86400000000003</v>
      </c>
      <c r="H269" s="676">
        <v>0</v>
      </c>
      <c r="I269" s="676">
        <v>0</v>
      </c>
      <c r="J269" s="676">
        <v>0</v>
      </c>
      <c r="K269" s="676">
        <v>0</v>
      </c>
      <c r="L269" s="676">
        <v>0</v>
      </c>
      <c r="M269" s="676">
        <v>0</v>
      </c>
      <c r="N269" s="666">
        <v>858.86</v>
      </c>
    </row>
    <row r="270" spans="1:14" ht="18.75" hidden="1">
      <c r="A270" s="674" t="s">
        <v>632</v>
      </c>
      <c r="B270" s="42" t="s">
        <v>364</v>
      </c>
      <c r="C270" s="42">
        <v>104534</v>
      </c>
      <c r="D270" s="42" t="s">
        <v>549</v>
      </c>
      <c r="E270" s="675">
        <v>8</v>
      </c>
      <c r="F270" s="675">
        <v>1115</v>
      </c>
      <c r="G270" s="676">
        <v>69.400000000000006</v>
      </c>
      <c r="H270" s="676">
        <v>0</v>
      </c>
      <c r="I270" s="676">
        <v>0</v>
      </c>
      <c r="J270" s="676">
        <v>0</v>
      </c>
      <c r="K270" s="676">
        <v>0</v>
      </c>
      <c r="L270" s="676">
        <v>0</v>
      </c>
      <c r="M270" s="676">
        <v>0</v>
      </c>
      <c r="N270" s="666">
        <v>69.400000000000006</v>
      </c>
    </row>
    <row r="271" spans="1:14" ht="18.75" hidden="1">
      <c r="A271" s="674" t="s">
        <v>632</v>
      </c>
      <c r="B271" s="42" t="s">
        <v>364</v>
      </c>
      <c r="C271" s="42">
        <v>104401</v>
      </c>
      <c r="D271" s="42" t="s">
        <v>593</v>
      </c>
      <c r="E271" s="675">
        <v>8</v>
      </c>
      <c r="F271" s="675">
        <v>1115</v>
      </c>
      <c r="G271" s="676">
        <v>13936.254999999999</v>
      </c>
      <c r="H271" s="676">
        <v>0</v>
      </c>
      <c r="I271" s="676">
        <v>2028.405</v>
      </c>
      <c r="J271" s="676">
        <v>0</v>
      </c>
      <c r="K271" s="676">
        <v>0</v>
      </c>
      <c r="L271" s="676">
        <v>0</v>
      </c>
      <c r="M271" s="676">
        <v>14</v>
      </c>
      <c r="N271" s="666">
        <v>13950.26</v>
      </c>
    </row>
    <row r="272" spans="1:14" ht="18.75" hidden="1">
      <c r="A272" s="674" t="s">
        <v>632</v>
      </c>
      <c r="B272" s="42" t="s">
        <v>364</v>
      </c>
      <c r="C272" s="42">
        <v>104400</v>
      </c>
      <c r="D272" s="42" t="s">
        <v>523</v>
      </c>
      <c r="E272" s="675">
        <v>8</v>
      </c>
      <c r="F272" s="675">
        <v>1135</v>
      </c>
      <c r="G272" s="676">
        <v>2154.5479999999998</v>
      </c>
      <c r="H272" s="676">
        <v>0</v>
      </c>
      <c r="I272" s="676">
        <v>0</v>
      </c>
      <c r="J272" s="676">
        <v>0</v>
      </c>
      <c r="K272" s="676">
        <v>0</v>
      </c>
      <c r="L272" s="676">
        <v>0</v>
      </c>
      <c r="M272" s="676">
        <v>0</v>
      </c>
      <c r="N272" s="666">
        <v>2154.5500000000002</v>
      </c>
    </row>
    <row r="273" spans="1:14" ht="18.75">
      <c r="A273" s="674" t="s">
        <v>632</v>
      </c>
      <c r="B273" s="42" t="s">
        <v>364</v>
      </c>
      <c r="C273" s="42">
        <v>104945</v>
      </c>
      <c r="D273" s="42" t="s">
        <v>663</v>
      </c>
      <c r="E273" s="675">
        <v>8</v>
      </c>
      <c r="F273" s="675">
        <v>1175</v>
      </c>
      <c r="G273" s="676">
        <v>481.84899999999999</v>
      </c>
      <c r="H273" s="676">
        <v>0</v>
      </c>
      <c r="I273" s="676">
        <v>0</v>
      </c>
      <c r="J273" s="676">
        <v>0</v>
      </c>
      <c r="K273" s="676">
        <v>0</v>
      </c>
      <c r="L273" s="676">
        <v>0</v>
      </c>
      <c r="M273" s="676">
        <v>0</v>
      </c>
      <c r="N273" s="666">
        <v>481.85</v>
      </c>
    </row>
    <row r="274" spans="1:14" ht="18.75" hidden="1">
      <c r="A274" s="674" t="s">
        <v>632</v>
      </c>
      <c r="B274" s="42" t="s">
        <v>364</v>
      </c>
      <c r="C274" s="42">
        <v>104399</v>
      </c>
      <c r="D274" s="42" t="s">
        <v>524</v>
      </c>
      <c r="E274" s="675">
        <v>8</v>
      </c>
      <c r="F274" s="675">
        <v>1215</v>
      </c>
      <c r="G274" s="676">
        <v>2482.9549999999999</v>
      </c>
      <c r="H274" s="676">
        <v>0</v>
      </c>
      <c r="I274" s="676">
        <v>0</v>
      </c>
      <c r="J274" s="676">
        <v>0</v>
      </c>
      <c r="K274" s="676">
        <v>0</v>
      </c>
      <c r="L274" s="676">
        <v>2132.5439999999999</v>
      </c>
      <c r="M274" s="676">
        <v>0</v>
      </c>
      <c r="N274" s="666">
        <v>4615.5</v>
      </c>
    </row>
    <row r="275" spans="1:14" ht="18.75" hidden="1">
      <c r="A275" s="674" t="s">
        <v>632</v>
      </c>
      <c r="B275" s="42" t="s">
        <v>364</v>
      </c>
      <c r="C275" s="42">
        <v>104669</v>
      </c>
      <c r="D275" s="42" t="s">
        <v>570</v>
      </c>
      <c r="E275" s="675">
        <v>8</v>
      </c>
      <c r="F275" s="675">
        <v>1250</v>
      </c>
      <c r="G275" s="676">
        <v>41904.923000000003</v>
      </c>
      <c r="H275" s="676">
        <v>0</v>
      </c>
      <c r="I275" s="676">
        <v>20157.074000000001</v>
      </c>
      <c r="J275" s="676">
        <v>0</v>
      </c>
      <c r="K275" s="676">
        <v>0</v>
      </c>
      <c r="L275" s="676">
        <v>0</v>
      </c>
      <c r="M275" s="676">
        <v>0</v>
      </c>
      <c r="N275" s="666">
        <v>41904.92</v>
      </c>
    </row>
    <row r="276" spans="1:14" ht="18.75" hidden="1">
      <c r="A276" s="674" t="s">
        <v>632</v>
      </c>
      <c r="B276" s="42" t="s">
        <v>364</v>
      </c>
      <c r="C276" s="42">
        <v>104933</v>
      </c>
      <c r="D276" s="42" t="s">
        <v>657</v>
      </c>
      <c r="E276" s="675">
        <v>10</v>
      </c>
      <c r="F276" s="675">
        <v>735</v>
      </c>
      <c r="G276" s="676">
        <v>261.39999999999998</v>
      </c>
      <c r="H276" s="676">
        <v>0</v>
      </c>
      <c r="I276" s="676">
        <v>0</v>
      </c>
      <c r="J276" s="676">
        <v>0</v>
      </c>
      <c r="K276" s="676">
        <v>0</v>
      </c>
      <c r="L276" s="676">
        <v>0</v>
      </c>
      <c r="M276" s="676">
        <v>0</v>
      </c>
      <c r="N276" s="666">
        <v>261.39999999999998</v>
      </c>
    </row>
    <row r="277" spans="1:14" ht="18.75" hidden="1">
      <c r="A277" s="674" t="s">
        <v>632</v>
      </c>
      <c r="B277" s="42" t="s">
        <v>364</v>
      </c>
      <c r="C277" s="42">
        <v>103514</v>
      </c>
      <c r="D277" s="42" t="s">
        <v>461</v>
      </c>
      <c r="E277" s="675">
        <v>10</v>
      </c>
      <c r="F277" s="675">
        <v>795</v>
      </c>
      <c r="G277" s="676">
        <v>942.78</v>
      </c>
      <c r="H277" s="676">
        <v>0</v>
      </c>
      <c r="I277" s="676">
        <v>311.83999999999997</v>
      </c>
      <c r="J277" s="676">
        <v>0</v>
      </c>
      <c r="K277" s="676">
        <v>0</v>
      </c>
      <c r="L277" s="676">
        <v>0</v>
      </c>
      <c r="M277" s="676">
        <v>0</v>
      </c>
      <c r="N277" s="666">
        <v>942.78</v>
      </c>
    </row>
    <row r="278" spans="1:14" ht="18.75" hidden="1">
      <c r="A278" s="674" t="s">
        <v>632</v>
      </c>
      <c r="B278" s="42" t="s">
        <v>364</v>
      </c>
      <c r="C278" s="42">
        <v>103401</v>
      </c>
      <c r="D278" s="42" t="s">
        <v>448</v>
      </c>
      <c r="E278" s="675">
        <v>10</v>
      </c>
      <c r="F278" s="675">
        <v>805</v>
      </c>
      <c r="G278" s="676">
        <v>573.63599999999997</v>
      </c>
      <c r="H278" s="676">
        <v>0</v>
      </c>
      <c r="I278" s="676">
        <v>520.01</v>
      </c>
      <c r="J278" s="676">
        <v>157.88</v>
      </c>
      <c r="K278" s="676">
        <v>0</v>
      </c>
      <c r="L278" s="676">
        <v>0</v>
      </c>
      <c r="M278" s="676">
        <v>0</v>
      </c>
      <c r="N278" s="666">
        <v>573.64</v>
      </c>
    </row>
    <row r="279" spans="1:14" ht="18.75" hidden="1">
      <c r="A279" s="674" t="s">
        <v>632</v>
      </c>
      <c r="B279" s="42" t="s">
        <v>364</v>
      </c>
      <c r="C279" s="42">
        <v>103011</v>
      </c>
      <c r="D279" s="42" t="s">
        <v>424</v>
      </c>
      <c r="E279" s="675">
        <v>10</v>
      </c>
      <c r="F279" s="675">
        <v>865</v>
      </c>
      <c r="G279" s="676">
        <v>573.02</v>
      </c>
      <c r="H279" s="676">
        <v>0</v>
      </c>
      <c r="I279" s="676">
        <v>361.69400000000002</v>
      </c>
      <c r="J279" s="676">
        <v>134.18</v>
      </c>
      <c r="K279" s="676">
        <v>0</v>
      </c>
      <c r="L279" s="676">
        <v>0</v>
      </c>
      <c r="M279" s="676">
        <v>0</v>
      </c>
      <c r="N279" s="666">
        <v>573.02</v>
      </c>
    </row>
    <row r="280" spans="1:14" ht="18.75" hidden="1">
      <c r="A280" s="674" t="s">
        <v>632</v>
      </c>
      <c r="B280" s="42" t="s">
        <v>364</v>
      </c>
      <c r="C280" s="42">
        <v>103126</v>
      </c>
      <c r="D280" s="42" t="s">
        <v>684</v>
      </c>
      <c r="E280" s="675">
        <v>10</v>
      </c>
      <c r="F280" s="675">
        <v>910</v>
      </c>
      <c r="G280" s="676">
        <v>75</v>
      </c>
      <c r="H280" s="676">
        <v>0</v>
      </c>
      <c r="I280" s="676">
        <v>20</v>
      </c>
      <c r="J280" s="676">
        <v>0</v>
      </c>
      <c r="K280" s="676">
        <v>0</v>
      </c>
      <c r="L280" s="676">
        <v>0</v>
      </c>
      <c r="M280" s="676">
        <v>0</v>
      </c>
      <c r="N280" s="666">
        <v>75</v>
      </c>
    </row>
    <row r="281" spans="1:14" ht="18.75" hidden="1">
      <c r="A281" s="674" t="s">
        <v>632</v>
      </c>
      <c r="B281" s="42" t="s">
        <v>364</v>
      </c>
      <c r="C281" s="42">
        <v>103012</v>
      </c>
      <c r="D281" s="42" t="s">
        <v>499</v>
      </c>
      <c r="E281" s="675">
        <v>10</v>
      </c>
      <c r="F281" s="675">
        <v>945</v>
      </c>
      <c r="G281" s="676">
        <v>653.33600000000001</v>
      </c>
      <c r="H281" s="676">
        <v>0</v>
      </c>
      <c r="I281" s="676">
        <v>0</v>
      </c>
      <c r="J281" s="676">
        <v>0</v>
      </c>
      <c r="K281" s="676">
        <v>0</v>
      </c>
      <c r="L281" s="676">
        <v>0</v>
      </c>
      <c r="M281" s="676">
        <v>0</v>
      </c>
      <c r="N281" s="666">
        <v>653.34</v>
      </c>
    </row>
    <row r="282" spans="1:14" ht="18.75" hidden="1">
      <c r="A282" s="674" t="s">
        <v>632</v>
      </c>
      <c r="B282" s="42" t="s">
        <v>364</v>
      </c>
      <c r="C282" s="42">
        <v>102949</v>
      </c>
      <c r="D282" s="42" t="s">
        <v>423</v>
      </c>
      <c r="E282" s="675">
        <v>10</v>
      </c>
      <c r="F282" s="675">
        <v>1050</v>
      </c>
      <c r="G282" s="676">
        <v>24004.539000000001</v>
      </c>
      <c r="H282" s="676">
        <v>0</v>
      </c>
      <c r="I282" s="676">
        <v>9448.8739999999998</v>
      </c>
      <c r="J282" s="676">
        <v>0</v>
      </c>
      <c r="K282" s="676">
        <v>0</v>
      </c>
      <c r="L282" s="676">
        <v>0</v>
      </c>
      <c r="M282" s="676">
        <v>0</v>
      </c>
      <c r="N282" s="666">
        <v>24004.54</v>
      </c>
    </row>
    <row r="283" spans="1:14" ht="18.75" hidden="1">
      <c r="A283" s="674" t="s">
        <v>632</v>
      </c>
      <c r="B283" s="42" t="s">
        <v>364</v>
      </c>
      <c r="C283" s="42">
        <v>104535</v>
      </c>
      <c r="D283" s="42" t="s">
        <v>550</v>
      </c>
      <c r="E283" s="675">
        <v>10</v>
      </c>
      <c r="F283" s="675">
        <v>1050</v>
      </c>
      <c r="G283" s="676">
        <v>0</v>
      </c>
      <c r="H283" s="676">
        <v>0</v>
      </c>
      <c r="I283" s="676">
        <v>159.80000000000001</v>
      </c>
      <c r="J283" s="676">
        <v>0</v>
      </c>
      <c r="K283" s="676">
        <v>0</v>
      </c>
      <c r="L283" s="676">
        <v>0</v>
      </c>
      <c r="M283" s="676">
        <v>0</v>
      </c>
      <c r="N283" s="666">
        <v>0</v>
      </c>
    </row>
    <row r="284" spans="1:14" ht="18.75" hidden="1">
      <c r="A284" s="674" t="s">
        <v>632</v>
      </c>
      <c r="B284" s="42" t="s">
        <v>364</v>
      </c>
      <c r="C284" s="42">
        <v>105163</v>
      </c>
      <c r="D284" s="42" t="s">
        <v>755</v>
      </c>
      <c r="E284" s="675">
        <v>10</v>
      </c>
      <c r="F284" s="675">
        <v>1065</v>
      </c>
      <c r="G284" s="676">
        <v>276</v>
      </c>
      <c r="H284" s="676">
        <v>0</v>
      </c>
      <c r="I284" s="676">
        <v>0</v>
      </c>
      <c r="J284" s="676">
        <v>0</v>
      </c>
      <c r="K284" s="676">
        <v>0</v>
      </c>
      <c r="L284" s="676">
        <v>0</v>
      </c>
      <c r="M284" s="676">
        <v>0</v>
      </c>
      <c r="N284" s="666">
        <v>276</v>
      </c>
    </row>
    <row r="285" spans="1:14" ht="18.75" hidden="1">
      <c r="A285" s="674" t="s">
        <v>632</v>
      </c>
      <c r="B285" s="42" t="s">
        <v>364</v>
      </c>
      <c r="C285" s="42">
        <v>103480</v>
      </c>
      <c r="D285" s="42" t="s">
        <v>756</v>
      </c>
      <c r="E285" s="675">
        <v>10</v>
      </c>
      <c r="F285" s="675">
        <v>1105</v>
      </c>
      <c r="G285" s="676">
        <v>1137.202</v>
      </c>
      <c r="H285" s="676">
        <v>0</v>
      </c>
      <c r="I285" s="676">
        <v>0</v>
      </c>
      <c r="J285" s="676">
        <v>0</v>
      </c>
      <c r="K285" s="676">
        <v>0</v>
      </c>
      <c r="L285" s="676">
        <v>0</v>
      </c>
      <c r="M285" s="676">
        <v>0</v>
      </c>
      <c r="N285" s="666">
        <v>1137.2</v>
      </c>
    </row>
    <row r="286" spans="1:14" ht="18.75" hidden="1">
      <c r="A286" s="674" t="s">
        <v>632</v>
      </c>
      <c r="B286" s="42" t="s">
        <v>364</v>
      </c>
      <c r="C286" s="42">
        <v>100286</v>
      </c>
      <c r="D286" s="42" t="s">
        <v>504</v>
      </c>
      <c r="E286" s="675">
        <v>10</v>
      </c>
      <c r="F286" s="675">
        <v>1200</v>
      </c>
      <c r="G286" s="676">
        <v>3035.76</v>
      </c>
      <c r="H286" s="676">
        <v>0</v>
      </c>
      <c r="I286" s="676">
        <v>165.59</v>
      </c>
      <c r="J286" s="676">
        <v>0</v>
      </c>
      <c r="K286" s="676">
        <v>0</v>
      </c>
      <c r="L286" s="676">
        <v>0</v>
      </c>
      <c r="M286" s="676">
        <v>152</v>
      </c>
      <c r="N286" s="666">
        <v>3187.76</v>
      </c>
    </row>
    <row r="287" spans="1:14" ht="18.75" hidden="1">
      <c r="A287" s="674" t="s">
        <v>632</v>
      </c>
      <c r="B287" s="42" t="s">
        <v>364</v>
      </c>
      <c r="C287" s="42">
        <v>100208</v>
      </c>
      <c r="D287" s="42" t="s">
        <v>586</v>
      </c>
      <c r="E287" s="675">
        <v>12</v>
      </c>
      <c r="F287" s="675">
        <v>675</v>
      </c>
      <c r="G287" s="676">
        <v>97</v>
      </c>
      <c r="H287" s="676">
        <v>0</v>
      </c>
      <c r="I287" s="676">
        <v>8</v>
      </c>
      <c r="J287" s="676">
        <v>0</v>
      </c>
      <c r="K287" s="676">
        <v>0</v>
      </c>
      <c r="L287" s="676">
        <v>0</v>
      </c>
      <c r="M287" s="676">
        <v>0</v>
      </c>
      <c r="N287" s="666">
        <v>97</v>
      </c>
    </row>
    <row r="288" spans="1:14" ht="18.75" hidden="1">
      <c r="A288" s="674" t="s">
        <v>632</v>
      </c>
      <c r="B288" s="42" t="s">
        <v>364</v>
      </c>
      <c r="C288" s="42">
        <v>104725</v>
      </c>
      <c r="D288" s="42" t="s">
        <v>584</v>
      </c>
      <c r="E288" s="675">
        <v>12</v>
      </c>
      <c r="F288" s="675">
        <v>775</v>
      </c>
      <c r="G288" s="676">
        <v>831.54</v>
      </c>
      <c r="H288" s="676">
        <v>0</v>
      </c>
      <c r="I288" s="676">
        <v>1641.2</v>
      </c>
      <c r="J288" s="676">
        <v>3500</v>
      </c>
      <c r="K288" s="676">
        <v>0</v>
      </c>
      <c r="L288" s="676">
        <v>0</v>
      </c>
      <c r="M288" s="676">
        <v>0</v>
      </c>
      <c r="N288" s="666">
        <v>831.54</v>
      </c>
    </row>
    <row r="289" spans="1:14" ht="18.75" hidden="1">
      <c r="A289" s="674" t="s">
        <v>632</v>
      </c>
      <c r="B289" s="42" t="s">
        <v>364</v>
      </c>
      <c r="C289" s="42">
        <v>103846</v>
      </c>
      <c r="D289" s="42" t="s">
        <v>675</v>
      </c>
      <c r="E289" s="675">
        <v>12</v>
      </c>
      <c r="F289" s="675">
        <v>795</v>
      </c>
      <c r="G289" s="676">
        <v>659.82</v>
      </c>
      <c r="H289" s="676">
        <v>0</v>
      </c>
      <c r="I289" s="676">
        <v>0</v>
      </c>
      <c r="J289" s="676">
        <v>0</v>
      </c>
      <c r="K289" s="676">
        <v>0</v>
      </c>
      <c r="L289" s="676">
        <v>0</v>
      </c>
      <c r="M289" s="676">
        <v>0</v>
      </c>
      <c r="N289" s="666">
        <v>659.82</v>
      </c>
    </row>
    <row r="290" spans="1:14" ht="18.75" hidden="1">
      <c r="A290" s="674" t="s">
        <v>632</v>
      </c>
      <c r="B290" s="42" t="s">
        <v>364</v>
      </c>
      <c r="C290" s="42">
        <v>100001</v>
      </c>
      <c r="D290" s="42" t="s">
        <v>757</v>
      </c>
      <c r="E290" s="675">
        <v>12</v>
      </c>
      <c r="F290" s="675">
        <v>815</v>
      </c>
      <c r="G290" s="676">
        <v>228</v>
      </c>
      <c r="H290" s="676">
        <v>0</v>
      </c>
      <c r="I290" s="676">
        <v>0</v>
      </c>
      <c r="J290" s="676">
        <v>0</v>
      </c>
      <c r="K290" s="676">
        <v>0</v>
      </c>
      <c r="L290" s="676">
        <v>0</v>
      </c>
      <c r="M290" s="676">
        <v>0</v>
      </c>
      <c r="N290" s="666">
        <v>228</v>
      </c>
    </row>
    <row r="291" spans="1:14" ht="18.75" hidden="1">
      <c r="A291" s="674" t="s">
        <v>632</v>
      </c>
      <c r="B291" s="42" t="s">
        <v>364</v>
      </c>
      <c r="C291" s="42">
        <v>104501</v>
      </c>
      <c r="D291" s="42" t="s">
        <v>534</v>
      </c>
      <c r="E291" s="675">
        <v>12</v>
      </c>
      <c r="F291" s="675">
        <v>865</v>
      </c>
      <c r="G291" s="676">
        <v>446.99400000000003</v>
      </c>
      <c r="H291" s="676">
        <v>0</v>
      </c>
      <c r="I291" s="676">
        <v>3099.9560000000001</v>
      </c>
      <c r="J291" s="676">
        <v>0</v>
      </c>
      <c r="K291" s="676">
        <v>0</v>
      </c>
      <c r="L291" s="676">
        <v>649.79399999999998</v>
      </c>
      <c r="M291" s="676">
        <v>0</v>
      </c>
      <c r="N291" s="666">
        <v>1096.78</v>
      </c>
    </row>
    <row r="292" spans="1:14" ht="18.75" hidden="1">
      <c r="A292" s="674" t="s">
        <v>632</v>
      </c>
      <c r="B292" s="42" t="s">
        <v>364</v>
      </c>
      <c r="C292" s="42">
        <v>102495</v>
      </c>
      <c r="D292" s="42" t="s">
        <v>540</v>
      </c>
      <c r="E292" s="675">
        <v>12</v>
      </c>
      <c r="F292" s="675">
        <v>895</v>
      </c>
      <c r="G292" s="676">
        <v>1184.2</v>
      </c>
      <c r="H292" s="676">
        <v>0</v>
      </c>
      <c r="I292" s="676">
        <v>2076.4749999999999</v>
      </c>
      <c r="J292" s="676">
        <v>0</v>
      </c>
      <c r="K292" s="676">
        <v>0</v>
      </c>
      <c r="L292" s="676">
        <v>0</v>
      </c>
      <c r="M292" s="676">
        <v>0</v>
      </c>
      <c r="N292" s="666">
        <v>1184.2</v>
      </c>
    </row>
    <row r="293" spans="1:14" ht="18.75" hidden="1">
      <c r="A293" s="674" t="s">
        <v>632</v>
      </c>
      <c r="B293" s="42" t="s">
        <v>364</v>
      </c>
      <c r="C293" s="42">
        <v>104315</v>
      </c>
      <c r="D293" s="42" t="s">
        <v>512</v>
      </c>
      <c r="E293" s="675">
        <v>12</v>
      </c>
      <c r="F293" s="675">
        <v>925</v>
      </c>
      <c r="G293" s="676">
        <v>0</v>
      </c>
      <c r="H293" s="676">
        <v>0</v>
      </c>
      <c r="I293" s="676">
        <v>1390.297</v>
      </c>
      <c r="J293" s="676">
        <v>0</v>
      </c>
      <c r="K293" s="676">
        <v>0</v>
      </c>
      <c r="L293" s="676">
        <v>0</v>
      </c>
      <c r="M293" s="676">
        <v>292</v>
      </c>
      <c r="N293" s="666">
        <v>292</v>
      </c>
    </row>
    <row r="294" spans="1:14" ht="18.75" hidden="1">
      <c r="A294" s="674" t="s">
        <v>632</v>
      </c>
      <c r="B294" s="42" t="s">
        <v>364</v>
      </c>
      <c r="C294" s="42">
        <v>104869</v>
      </c>
      <c r="D294" s="42" t="s">
        <v>618</v>
      </c>
      <c r="E294" s="675">
        <v>12</v>
      </c>
      <c r="F294" s="675">
        <v>940</v>
      </c>
      <c r="G294" s="676">
        <v>327</v>
      </c>
      <c r="H294" s="676">
        <v>0</v>
      </c>
      <c r="I294" s="676">
        <v>304.86799999999999</v>
      </c>
      <c r="J294" s="676">
        <v>0</v>
      </c>
      <c r="K294" s="676">
        <v>0</v>
      </c>
      <c r="L294" s="676">
        <v>0</v>
      </c>
      <c r="M294" s="676">
        <v>0</v>
      </c>
      <c r="N294" s="666">
        <v>327</v>
      </c>
    </row>
    <row r="295" spans="1:14" ht="18.75" hidden="1">
      <c r="A295" s="674" t="s">
        <v>632</v>
      </c>
      <c r="B295" s="42" t="s">
        <v>364</v>
      </c>
      <c r="C295" s="42">
        <v>102496</v>
      </c>
      <c r="D295" s="42" t="s">
        <v>733</v>
      </c>
      <c r="E295" s="675">
        <v>12</v>
      </c>
      <c r="F295" s="675">
        <v>945</v>
      </c>
      <c r="G295" s="676">
        <v>461.4</v>
      </c>
      <c r="H295" s="676">
        <v>0</v>
      </c>
      <c r="I295" s="676">
        <v>0</v>
      </c>
      <c r="J295" s="676">
        <v>0</v>
      </c>
      <c r="K295" s="676">
        <v>0</v>
      </c>
      <c r="L295" s="676">
        <v>0</v>
      </c>
      <c r="M295" s="676">
        <v>0</v>
      </c>
      <c r="N295" s="666">
        <v>461.4</v>
      </c>
    </row>
    <row r="296" spans="1:14" ht="18.75" hidden="1">
      <c r="A296" s="674" t="s">
        <v>632</v>
      </c>
      <c r="B296" s="42" t="s">
        <v>364</v>
      </c>
      <c r="C296" s="42">
        <v>104522</v>
      </c>
      <c r="D296" s="42" t="s">
        <v>926</v>
      </c>
      <c r="E296" s="675">
        <v>12</v>
      </c>
      <c r="F296" s="675">
        <v>955</v>
      </c>
      <c r="G296" s="676">
        <v>1538.6320000000001</v>
      </c>
      <c r="H296" s="676">
        <v>0</v>
      </c>
      <c r="I296" s="676">
        <v>0</v>
      </c>
      <c r="J296" s="676">
        <v>0</v>
      </c>
      <c r="K296" s="676">
        <v>0</v>
      </c>
      <c r="L296" s="676">
        <v>0</v>
      </c>
      <c r="M296" s="676">
        <v>0</v>
      </c>
      <c r="N296" s="666">
        <v>1538.63</v>
      </c>
    </row>
    <row r="297" spans="1:14" ht="18.75" hidden="1">
      <c r="A297" s="674" t="s">
        <v>632</v>
      </c>
      <c r="B297" s="42" t="s">
        <v>364</v>
      </c>
      <c r="C297" s="42">
        <v>104488</v>
      </c>
      <c r="D297" s="42" t="s">
        <v>531</v>
      </c>
      <c r="E297" s="675">
        <v>12</v>
      </c>
      <c r="F297" s="675">
        <v>985</v>
      </c>
      <c r="G297" s="676">
        <v>521.07000000000005</v>
      </c>
      <c r="H297" s="676">
        <v>0</v>
      </c>
      <c r="I297" s="676">
        <v>4236.6779999999999</v>
      </c>
      <c r="J297" s="676">
        <v>1922.02</v>
      </c>
      <c r="K297" s="676">
        <v>0</v>
      </c>
      <c r="L297" s="676">
        <v>659.72</v>
      </c>
      <c r="M297" s="676">
        <v>0</v>
      </c>
      <c r="N297" s="666">
        <v>1180.79</v>
      </c>
    </row>
    <row r="298" spans="1:14" ht="18.75" hidden="1">
      <c r="A298" s="674" t="s">
        <v>632</v>
      </c>
      <c r="B298" s="42" t="s">
        <v>364</v>
      </c>
      <c r="C298" s="42">
        <v>101628</v>
      </c>
      <c r="D298" s="42" t="s">
        <v>365</v>
      </c>
      <c r="E298" s="675">
        <v>12</v>
      </c>
      <c r="F298" s="675">
        <v>995</v>
      </c>
      <c r="G298" s="676">
        <v>298.89999999999998</v>
      </c>
      <c r="H298" s="676">
        <v>0</v>
      </c>
      <c r="I298" s="676">
        <v>1344.64</v>
      </c>
      <c r="J298" s="676">
        <v>0</v>
      </c>
      <c r="K298" s="676">
        <v>0</v>
      </c>
      <c r="L298" s="676">
        <v>615.32000000000005</v>
      </c>
      <c r="M298" s="676">
        <v>0</v>
      </c>
      <c r="N298" s="666">
        <v>914.22</v>
      </c>
    </row>
    <row r="299" spans="1:14" ht="18.75" hidden="1">
      <c r="A299" s="674" t="s">
        <v>632</v>
      </c>
      <c r="B299" s="42" t="s">
        <v>364</v>
      </c>
      <c r="C299" s="42">
        <v>104521</v>
      </c>
      <c r="D299" s="42" t="s">
        <v>546</v>
      </c>
      <c r="E299" s="675">
        <v>12</v>
      </c>
      <c r="F299" s="675">
        <v>1000</v>
      </c>
      <c r="G299" s="676">
        <v>1536.25</v>
      </c>
      <c r="H299" s="676">
        <v>0</v>
      </c>
      <c r="I299" s="676">
        <v>3189.7</v>
      </c>
      <c r="J299" s="676">
        <v>101.4</v>
      </c>
      <c r="K299" s="676">
        <v>0</v>
      </c>
      <c r="L299" s="676">
        <v>0</v>
      </c>
      <c r="M299" s="676">
        <v>0</v>
      </c>
      <c r="N299" s="666">
        <v>1536.25</v>
      </c>
    </row>
    <row r="300" spans="1:14" ht="18.75" hidden="1">
      <c r="A300" s="674" t="s">
        <v>632</v>
      </c>
      <c r="B300" s="42" t="s">
        <v>364</v>
      </c>
      <c r="C300" s="42">
        <v>104672</v>
      </c>
      <c r="D300" s="42" t="s">
        <v>571</v>
      </c>
      <c r="E300" s="675">
        <v>12</v>
      </c>
      <c r="F300" s="675">
        <v>1017</v>
      </c>
      <c r="G300" s="676">
        <v>6725.2889999999998</v>
      </c>
      <c r="H300" s="676">
        <v>0</v>
      </c>
      <c r="I300" s="676">
        <v>0</v>
      </c>
      <c r="J300" s="676">
        <v>0</v>
      </c>
      <c r="K300" s="676">
        <v>0</v>
      </c>
      <c r="L300" s="676">
        <v>0</v>
      </c>
      <c r="M300" s="676">
        <v>0</v>
      </c>
      <c r="N300" s="666">
        <v>6725.29</v>
      </c>
    </row>
    <row r="301" spans="1:14" ht="18.75" hidden="1">
      <c r="A301" s="674" t="s">
        <v>632</v>
      </c>
      <c r="B301" s="42" t="s">
        <v>364</v>
      </c>
      <c r="C301" s="42">
        <v>104487</v>
      </c>
      <c r="D301" s="42" t="s">
        <v>532</v>
      </c>
      <c r="E301" s="675">
        <v>12</v>
      </c>
      <c r="F301" s="675">
        <v>1025</v>
      </c>
      <c r="G301" s="676">
        <v>3109.45</v>
      </c>
      <c r="H301" s="676">
        <v>0</v>
      </c>
      <c r="I301" s="676">
        <v>2051.39</v>
      </c>
      <c r="J301" s="676">
        <v>0.98</v>
      </c>
      <c r="K301" s="676">
        <v>0</v>
      </c>
      <c r="L301" s="676">
        <v>0</v>
      </c>
      <c r="M301" s="676">
        <v>157</v>
      </c>
      <c r="N301" s="666">
        <v>3266.45</v>
      </c>
    </row>
    <row r="302" spans="1:14" ht="18.75" hidden="1">
      <c r="A302" s="674" t="s">
        <v>632</v>
      </c>
      <c r="B302" s="42" t="s">
        <v>364</v>
      </c>
      <c r="C302" s="42">
        <v>103242</v>
      </c>
      <c r="D302" s="42" t="s">
        <v>698</v>
      </c>
      <c r="E302" s="675">
        <v>12</v>
      </c>
      <c r="F302" s="675">
        <v>1035</v>
      </c>
      <c r="G302" s="676">
        <v>2225.12</v>
      </c>
      <c r="H302" s="676">
        <v>0</v>
      </c>
      <c r="I302" s="676">
        <v>0</v>
      </c>
      <c r="J302" s="676">
        <v>0</v>
      </c>
      <c r="K302" s="676">
        <v>0</v>
      </c>
      <c r="L302" s="676">
        <v>0</v>
      </c>
      <c r="M302" s="676">
        <v>0</v>
      </c>
      <c r="N302" s="666">
        <v>2225.12</v>
      </c>
    </row>
    <row r="303" spans="1:14" ht="18.75" hidden="1">
      <c r="A303" s="674" t="s">
        <v>632</v>
      </c>
      <c r="B303" s="42" t="s">
        <v>364</v>
      </c>
      <c r="C303" s="42">
        <v>104514</v>
      </c>
      <c r="D303" s="42" t="s">
        <v>541</v>
      </c>
      <c r="E303" s="675">
        <v>12</v>
      </c>
      <c r="F303" s="675">
        <v>1050</v>
      </c>
      <c r="G303" s="676">
        <v>2532.6570000000002</v>
      </c>
      <c r="H303" s="676">
        <v>0</v>
      </c>
      <c r="I303" s="676">
        <v>638</v>
      </c>
      <c r="J303" s="676">
        <v>241.3</v>
      </c>
      <c r="K303" s="676">
        <v>0</v>
      </c>
      <c r="L303" s="676">
        <v>0</v>
      </c>
      <c r="M303" s="676">
        <v>0</v>
      </c>
      <c r="N303" s="666">
        <v>2532.66</v>
      </c>
    </row>
    <row r="304" spans="1:14" ht="18.75" hidden="1">
      <c r="A304" s="674" t="s">
        <v>632</v>
      </c>
      <c r="B304" s="42" t="s">
        <v>364</v>
      </c>
      <c r="C304" s="42">
        <v>104707</v>
      </c>
      <c r="D304" s="42" t="s">
        <v>576</v>
      </c>
      <c r="E304" s="675">
        <v>12</v>
      </c>
      <c r="F304" s="675">
        <v>1085</v>
      </c>
      <c r="G304" s="676">
        <v>1577.64</v>
      </c>
      <c r="H304" s="676">
        <v>0</v>
      </c>
      <c r="I304" s="676">
        <v>479.08499999999998</v>
      </c>
      <c r="J304" s="676">
        <v>198.36</v>
      </c>
      <c r="K304" s="676">
        <v>0</v>
      </c>
      <c r="L304" s="676">
        <v>0</v>
      </c>
      <c r="M304" s="676">
        <v>0</v>
      </c>
      <c r="N304" s="666">
        <v>1577.64</v>
      </c>
    </row>
    <row r="305" spans="1:14" ht="18.75" hidden="1">
      <c r="A305" s="674" t="s">
        <v>632</v>
      </c>
      <c r="B305" s="42" t="s">
        <v>364</v>
      </c>
      <c r="C305" s="42">
        <v>104714</v>
      </c>
      <c r="D305" s="42" t="s">
        <v>699</v>
      </c>
      <c r="E305" s="675">
        <v>12</v>
      </c>
      <c r="F305" s="675">
        <v>1105</v>
      </c>
      <c r="G305" s="676">
        <v>2239.087</v>
      </c>
      <c r="H305" s="676">
        <v>0</v>
      </c>
      <c r="I305" s="676">
        <v>0</v>
      </c>
      <c r="J305" s="676">
        <v>0</v>
      </c>
      <c r="K305" s="676">
        <v>0</v>
      </c>
      <c r="L305" s="676">
        <v>0</v>
      </c>
      <c r="M305" s="676">
        <v>0</v>
      </c>
      <c r="N305" s="666">
        <v>2239.09</v>
      </c>
    </row>
    <row r="306" spans="1:14" ht="18.75" hidden="1">
      <c r="A306" s="674" t="s">
        <v>632</v>
      </c>
      <c r="B306" s="42" t="s">
        <v>364</v>
      </c>
      <c r="C306" s="42">
        <v>103767</v>
      </c>
      <c r="D306" s="42" t="s">
        <v>479</v>
      </c>
      <c r="E306" s="675">
        <v>12</v>
      </c>
      <c r="F306" s="675">
        <v>1125</v>
      </c>
      <c r="G306" s="676">
        <v>13.8</v>
      </c>
      <c r="H306" s="676">
        <v>0</v>
      </c>
      <c r="I306" s="676">
        <v>8716.3410000000003</v>
      </c>
      <c r="J306" s="676">
        <v>315.2</v>
      </c>
      <c r="K306" s="676">
        <v>0</v>
      </c>
      <c r="L306" s="676">
        <v>144</v>
      </c>
      <c r="M306" s="676">
        <v>364</v>
      </c>
      <c r="N306" s="666">
        <v>521.79999999999995</v>
      </c>
    </row>
    <row r="307" spans="1:14" ht="18.75" hidden="1">
      <c r="A307" s="674" t="s">
        <v>632</v>
      </c>
      <c r="B307" s="42" t="s">
        <v>364</v>
      </c>
      <c r="C307" s="42">
        <v>104520</v>
      </c>
      <c r="D307" s="42" t="s">
        <v>547</v>
      </c>
      <c r="E307" s="675">
        <v>12</v>
      </c>
      <c r="F307" s="675">
        <v>1135</v>
      </c>
      <c r="G307" s="676">
        <v>2952.5880000000002</v>
      </c>
      <c r="H307" s="676">
        <v>0</v>
      </c>
      <c r="I307" s="676">
        <v>325.41000000000003</v>
      </c>
      <c r="J307" s="676">
        <v>0</v>
      </c>
      <c r="K307" s="676">
        <v>0</v>
      </c>
      <c r="L307" s="676">
        <v>0</v>
      </c>
      <c r="M307" s="676">
        <v>0</v>
      </c>
      <c r="N307" s="666">
        <v>2952.59</v>
      </c>
    </row>
    <row r="308" spans="1:14" ht="18.75" hidden="1">
      <c r="A308" s="674" t="s">
        <v>632</v>
      </c>
      <c r="B308" s="42" t="s">
        <v>364</v>
      </c>
      <c r="C308" s="42">
        <v>104513</v>
      </c>
      <c r="D308" s="42" t="s">
        <v>542</v>
      </c>
      <c r="E308" s="675">
        <v>12</v>
      </c>
      <c r="F308" s="675">
        <v>1145</v>
      </c>
      <c r="G308" s="676">
        <v>62</v>
      </c>
      <c r="H308" s="676">
        <v>0</v>
      </c>
      <c r="I308" s="676">
        <v>3891.44</v>
      </c>
      <c r="J308" s="676">
        <v>0</v>
      </c>
      <c r="K308" s="676">
        <v>0</v>
      </c>
      <c r="L308" s="676">
        <v>0</v>
      </c>
      <c r="M308" s="676">
        <v>77</v>
      </c>
      <c r="N308" s="666">
        <v>139</v>
      </c>
    </row>
    <row r="309" spans="1:14" ht="18.75" hidden="1">
      <c r="A309" s="674" t="s">
        <v>632</v>
      </c>
      <c r="B309" s="42" t="s">
        <v>364</v>
      </c>
      <c r="C309" s="42">
        <v>104711</v>
      </c>
      <c r="D309" s="42" t="s">
        <v>581</v>
      </c>
      <c r="E309" s="675">
        <v>12</v>
      </c>
      <c r="F309" s="675">
        <v>1155</v>
      </c>
      <c r="G309" s="676">
        <v>3390</v>
      </c>
      <c r="H309" s="676">
        <v>0</v>
      </c>
      <c r="I309" s="676">
        <v>10131</v>
      </c>
      <c r="J309" s="676">
        <v>2000</v>
      </c>
      <c r="K309" s="676">
        <v>0</v>
      </c>
      <c r="L309" s="676">
        <v>0</v>
      </c>
      <c r="M309" s="676">
        <v>0</v>
      </c>
      <c r="N309" s="666">
        <v>3390</v>
      </c>
    </row>
    <row r="310" spans="1:14" ht="18.75" hidden="1">
      <c r="A310" s="674" t="s">
        <v>632</v>
      </c>
      <c r="B310" s="42" t="s">
        <v>364</v>
      </c>
      <c r="C310" s="42">
        <v>104486</v>
      </c>
      <c r="D310" s="42" t="s">
        <v>533</v>
      </c>
      <c r="E310" s="675">
        <v>12</v>
      </c>
      <c r="F310" s="675">
        <v>1165</v>
      </c>
      <c r="G310" s="676">
        <v>0</v>
      </c>
      <c r="H310" s="676">
        <v>0</v>
      </c>
      <c r="I310" s="676">
        <v>8638.7579999999998</v>
      </c>
      <c r="J310" s="676">
        <v>0</v>
      </c>
      <c r="K310" s="676">
        <v>0</v>
      </c>
      <c r="L310" s="676">
        <v>88</v>
      </c>
      <c r="M310" s="676">
        <v>295.8</v>
      </c>
      <c r="N310" s="666">
        <v>383.8</v>
      </c>
    </row>
    <row r="311" spans="1:14" ht="18.75" hidden="1">
      <c r="A311" s="674" t="s">
        <v>632</v>
      </c>
      <c r="B311" s="42" t="s">
        <v>364</v>
      </c>
      <c r="C311" s="42">
        <v>105065</v>
      </c>
      <c r="D311" s="42" t="s">
        <v>765</v>
      </c>
      <c r="E311" s="675">
        <v>12</v>
      </c>
      <c r="F311" s="675">
        <v>1168</v>
      </c>
      <c r="G311" s="676">
        <v>0</v>
      </c>
      <c r="H311" s="676">
        <v>0</v>
      </c>
      <c r="I311" s="676">
        <v>723.79100000000005</v>
      </c>
      <c r="J311" s="676">
        <v>500</v>
      </c>
      <c r="K311" s="676">
        <v>0</v>
      </c>
      <c r="L311" s="676">
        <v>0</v>
      </c>
      <c r="M311" s="676">
        <v>0</v>
      </c>
      <c r="N311" s="666">
        <v>0</v>
      </c>
    </row>
    <row r="312" spans="1:14" ht="18.75" hidden="1">
      <c r="A312" s="674" t="s">
        <v>632</v>
      </c>
      <c r="B312" s="42" t="s">
        <v>364</v>
      </c>
      <c r="C312" s="42">
        <v>105125</v>
      </c>
      <c r="D312" s="42" t="s">
        <v>721</v>
      </c>
      <c r="E312" s="675">
        <v>12</v>
      </c>
      <c r="F312" s="675">
        <v>1185</v>
      </c>
      <c r="G312" s="676">
        <v>4100.58</v>
      </c>
      <c r="H312" s="676">
        <v>0</v>
      </c>
      <c r="I312" s="676">
        <v>2016.18</v>
      </c>
      <c r="J312" s="676">
        <v>5.28</v>
      </c>
      <c r="K312" s="676">
        <v>0</v>
      </c>
      <c r="L312" s="676">
        <v>0</v>
      </c>
      <c r="M312" s="676">
        <v>0</v>
      </c>
      <c r="N312" s="666">
        <v>4100.58</v>
      </c>
    </row>
    <row r="313" spans="1:14" ht="18.75" hidden="1">
      <c r="A313" s="674" t="s">
        <v>632</v>
      </c>
      <c r="B313" s="42" t="s">
        <v>364</v>
      </c>
      <c r="C313" s="42">
        <v>100512</v>
      </c>
      <c r="D313" s="42" t="s">
        <v>366</v>
      </c>
      <c r="E313" s="675">
        <v>12</v>
      </c>
      <c r="F313" s="675">
        <v>1215</v>
      </c>
      <c r="G313" s="676">
        <v>13414.893</v>
      </c>
      <c r="H313" s="676">
        <v>0</v>
      </c>
      <c r="I313" s="676">
        <v>19286.945</v>
      </c>
      <c r="J313" s="676">
        <v>0</v>
      </c>
      <c r="K313" s="676">
        <v>0</v>
      </c>
      <c r="L313" s="676">
        <v>1373.42</v>
      </c>
      <c r="M313" s="676">
        <v>0</v>
      </c>
      <c r="N313" s="666">
        <v>14788.31</v>
      </c>
    </row>
    <row r="314" spans="1:14" ht="18.75" hidden="1">
      <c r="A314" s="674" t="s">
        <v>632</v>
      </c>
      <c r="B314" s="42" t="s">
        <v>364</v>
      </c>
      <c r="C314" s="42">
        <v>104650</v>
      </c>
      <c r="D314" s="42" t="s">
        <v>565</v>
      </c>
      <c r="E314" s="675">
        <v>12</v>
      </c>
      <c r="F314" s="675">
        <v>1225</v>
      </c>
      <c r="G314" s="676">
        <v>1823.47</v>
      </c>
      <c r="H314" s="676">
        <v>0</v>
      </c>
      <c r="I314" s="676">
        <v>6224.44</v>
      </c>
      <c r="J314" s="676">
        <v>0</v>
      </c>
      <c r="K314" s="676">
        <v>0</v>
      </c>
      <c r="L314" s="676">
        <v>662.12</v>
      </c>
      <c r="M314" s="676">
        <v>0</v>
      </c>
      <c r="N314" s="666">
        <v>2485.59</v>
      </c>
    </row>
    <row r="315" spans="1:14" ht="18.75" hidden="1">
      <c r="A315" s="674" t="s">
        <v>632</v>
      </c>
      <c r="B315" s="42" t="s">
        <v>364</v>
      </c>
      <c r="C315" s="42">
        <v>103096</v>
      </c>
      <c r="D315" s="42" t="s">
        <v>430</v>
      </c>
      <c r="E315" s="675">
        <v>15</v>
      </c>
      <c r="F315" s="675">
        <v>675</v>
      </c>
      <c r="G315" s="676">
        <v>0</v>
      </c>
      <c r="H315" s="676">
        <v>0</v>
      </c>
      <c r="I315" s="676">
        <v>139</v>
      </c>
      <c r="J315" s="676">
        <v>0</v>
      </c>
      <c r="K315" s="676">
        <v>0</v>
      </c>
      <c r="L315" s="676">
        <v>0</v>
      </c>
      <c r="M315" s="676">
        <v>0</v>
      </c>
      <c r="N315" s="666">
        <v>0</v>
      </c>
    </row>
    <row r="316" spans="1:14" ht="18.75" hidden="1">
      <c r="A316" s="674" t="s">
        <v>632</v>
      </c>
      <c r="B316" s="42" t="s">
        <v>364</v>
      </c>
      <c r="C316" s="42">
        <v>105191</v>
      </c>
      <c r="D316" s="42" t="s">
        <v>837</v>
      </c>
      <c r="E316" s="675">
        <v>15</v>
      </c>
      <c r="F316" s="675">
        <v>815</v>
      </c>
      <c r="G316" s="676">
        <v>72.8</v>
      </c>
      <c r="H316" s="676">
        <v>0</v>
      </c>
      <c r="I316" s="676">
        <v>0</v>
      </c>
      <c r="J316" s="676">
        <v>0</v>
      </c>
      <c r="K316" s="676">
        <v>0</v>
      </c>
      <c r="L316" s="676">
        <v>0</v>
      </c>
      <c r="M316" s="676">
        <v>0</v>
      </c>
      <c r="N316" s="666">
        <v>72.8</v>
      </c>
    </row>
    <row r="317" spans="1:14" ht="18.75" hidden="1">
      <c r="A317" s="674" t="s">
        <v>632</v>
      </c>
      <c r="B317" s="42" t="s">
        <v>364</v>
      </c>
      <c r="C317" s="42">
        <v>104463</v>
      </c>
      <c r="D317" s="42" t="s">
        <v>587</v>
      </c>
      <c r="E317" s="675">
        <v>19</v>
      </c>
      <c r="F317" s="675">
        <v>675</v>
      </c>
      <c r="G317" s="676">
        <v>16962.93</v>
      </c>
      <c r="H317" s="676">
        <v>0</v>
      </c>
      <c r="I317" s="676">
        <v>4728.6360000000004</v>
      </c>
      <c r="J317" s="676">
        <v>0</v>
      </c>
      <c r="K317" s="676">
        <v>0</v>
      </c>
      <c r="L317" s="676">
        <v>0</v>
      </c>
      <c r="M317" s="676">
        <v>376</v>
      </c>
      <c r="N317" s="666">
        <v>17338.93</v>
      </c>
    </row>
    <row r="318" spans="1:14" ht="18.75" hidden="1">
      <c r="A318" s="674" t="s">
        <v>632</v>
      </c>
      <c r="B318" s="42" t="s">
        <v>367</v>
      </c>
      <c r="C318" s="42">
        <v>100511</v>
      </c>
      <c r="D318" s="42" t="s">
        <v>368</v>
      </c>
      <c r="E318" s="675">
        <v>12</v>
      </c>
      <c r="F318" s="675">
        <v>900</v>
      </c>
      <c r="G318" s="676">
        <v>0</v>
      </c>
      <c r="H318" s="676">
        <v>0</v>
      </c>
      <c r="I318" s="676">
        <v>0</v>
      </c>
      <c r="J318" s="676">
        <v>0</v>
      </c>
      <c r="K318" s="676">
        <v>0</v>
      </c>
      <c r="L318" s="676">
        <v>110</v>
      </c>
      <c r="M318" s="676">
        <v>0</v>
      </c>
      <c r="N318" s="666">
        <v>110</v>
      </c>
    </row>
    <row r="319" spans="1:14" ht="18.75" hidden="1">
      <c r="A319" s="674" t="s">
        <v>632</v>
      </c>
      <c r="B319" s="42" t="s">
        <v>369</v>
      </c>
      <c r="C319" s="42">
        <v>104827</v>
      </c>
      <c r="D319" s="42" t="s">
        <v>606</v>
      </c>
      <c r="E319" s="675">
        <v>10</v>
      </c>
      <c r="F319" s="675">
        <v>530</v>
      </c>
      <c r="G319" s="676">
        <v>0</v>
      </c>
      <c r="H319" s="676">
        <v>0</v>
      </c>
      <c r="I319" s="676">
        <v>0</v>
      </c>
      <c r="J319" s="676">
        <v>0</v>
      </c>
      <c r="K319" s="676">
        <v>0</v>
      </c>
      <c r="L319" s="676">
        <v>200.8</v>
      </c>
      <c r="M319" s="676">
        <v>0</v>
      </c>
      <c r="N319" s="666">
        <v>200.8</v>
      </c>
    </row>
    <row r="320" spans="1:14" ht="18.75" hidden="1">
      <c r="A320" s="674" t="s">
        <v>632</v>
      </c>
      <c r="B320" s="42" t="s">
        <v>369</v>
      </c>
      <c r="C320" s="42">
        <v>103054</v>
      </c>
      <c r="D320" s="42" t="s">
        <v>427</v>
      </c>
      <c r="E320" s="675">
        <v>10</v>
      </c>
      <c r="F320" s="675">
        <v>610</v>
      </c>
      <c r="G320" s="676">
        <v>0</v>
      </c>
      <c r="H320" s="676">
        <v>0</v>
      </c>
      <c r="I320" s="676">
        <v>0</v>
      </c>
      <c r="J320" s="676">
        <v>0</v>
      </c>
      <c r="K320" s="676">
        <v>0</v>
      </c>
      <c r="L320" s="676">
        <v>110.8</v>
      </c>
      <c r="M320" s="676">
        <v>0</v>
      </c>
      <c r="N320" s="666">
        <v>110.8</v>
      </c>
    </row>
    <row r="321" spans="1:14" ht="18.75" hidden="1">
      <c r="A321" s="677" t="s">
        <v>632</v>
      </c>
      <c r="B321" s="668" t="s">
        <v>369</v>
      </c>
      <c r="C321" s="668">
        <v>103307</v>
      </c>
      <c r="D321" s="668" t="s">
        <v>447</v>
      </c>
      <c r="E321" s="678">
        <v>10</v>
      </c>
      <c r="F321" s="678">
        <v>1165</v>
      </c>
      <c r="G321" s="679">
        <v>0</v>
      </c>
      <c r="H321" s="679">
        <v>0</v>
      </c>
      <c r="I321" s="679">
        <v>0</v>
      </c>
      <c r="J321" s="679">
        <v>0</v>
      </c>
      <c r="K321" s="679">
        <v>0</v>
      </c>
      <c r="L321" s="679">
        <v>104</v>
      </c>
      <c r="M321" s="679">
        <v>0</v>
      </c>
      <c r="N321" s="667">
        <v>104</v>
      </c>
    </row>
    <row r="322" spans="1:14" ht="18.75">
      <c r="A322" s="670" t="s">
        <v>773</v>
      </c>
      <c r="B322" s="671" t="s">
        <v>629</v>
      </c>
      <c r="C322" s="671" t="s">
        <v>328</v>
      </c>
      <c r="D322" s="671" t="s">
        <v>407</v>
      </c>
      <c r="E322" s="671" t="s">
        <v>633</v>
      </c>
      <c r="F322" s="671" t="s">
        <v>293</v>
      </c>
      <c r="G322" s="672" t="s">
        <v>329</v>
      </c>
      <c r="H322" s="672" t="s">
        <v>330</v>
      </c>
      <c r="I322" s="672" t="s">
        <v>774</v>
      </c>
      <c r="J322" s="672" t="s">
        <v>778</v>
      </c>
      <c r="K322" s="672" t="s">
        <v>775</v>
      </c>
      <c r="L322" s="672" t="s">
        <v>332</v>
      </c>
      <c r="M322" s="672" t="s">
        <v>333</v>
      </c>
      <c r="N322" s="673" t="s">
        <v>772</v>
      </c>
    </row>
    <row r="323" spans="1:14" ht="18.75">
      <c r="A323" s="680">
        <v>46028</v>
      </c>
      <c r="B323" s="42" t="s">
        <v>634</v>
      </c>
      <c r="C323" s="42">
        <v>102620</v>
      </c>
      <c r="D323" s="42" t="s">
        <v>817</v>
      </c>
      <c r="E323" s="675">
        <v>18</v>
      </c>
      <c r="F323" s="675">
        <v>1000</v>
      </c>
      <c r="G323" s="676">
        <v>383.8</v>
      </c>
      <c r="H323" s="676">
        <v>0</v>
      </c>
      <c r="I323" s="676">
        <v>0</v>
      </c>
      <c r="J323" s="676">
        <v>0</v>
      </c>
      <c r="K323" s="676">
        <v>0</v>
      </c>
      <c r="L323" s="676">
        <v>0</v>
      </c>
      <c r="M323" s="676">
        <v>0</v>
      </c>
      <c r="N323" s="666">
        <v>383.8</v>
      </c>
    </row>
    <row r="324" spans="1:14" ht="18.75">
      <c r="A324" s="680">
        <v>46015</v>
      </c>
      <c r="B324" s="42" t="s">
        <v>634</v>
      </c>
      <c r="C324" s="42">
        <v>105012</v>
      </c>
      <c r="D324" s="42" t="s">
        <v>984</v>
      </c>
      <c r="E324" s="675">
        <v>18</v>
      </c>
      <c r="F324" s="675">
        <v>1071</v>
      </c>
      <c r="G324" s="676">
        <v>61</v>
      </c>
      <c r="H324" s="676">
        <v>0</v>
      </c>
      <c r="I324" s="676">
        <v>0</v>
      </c>
      <c r="J324" s="676">
        <v>0</v>
      </c>
      <c r="K324" s="676">
        <v>0</v>
      </c>
      <c r="L324" s="676">
        <v>0</v>
      </c>
      <c r="M324" s="676">
        <v>0</v>
      </c>
      <c r="N324" s="666">
        <v>61</v>
      </c>
    </row>
    <row r="325" spans="1:14" ht="18.75">
      <c r="A325" s="680">
        <v>46067</v>
      </c>
      <c r="B325" s="42" t="s">
        <v>634</v>
      </c>
      <c r="C325" s="42">
        <v>104921</v>
      </c>
      <c r="D325" s="42" t="s">
        <v>802</v>
      </c>
      <c r="E325" s="675">
        <v>18</v>
      </c>
      <c r="F325" s="675">
        <v>1100</v>
      </c>
      <c r="G325" s="676">
        <v>217</v>
      </c>
      <c r="H325" s="676">
        <v>0</v>
      </c>
      <c r="I325" s="676">
        <v>0</v>
      </c>
      <c r="J325" s="676">
        <v>0</v>
      </c>
      <c r="K325" s="676">
        <v>0</v>
      </c>
      <c r="L325" s="676">
        <v>0</v>
      </c>
      <c r="M325" s="676">
        <v>0</v>
      </c>
      <c r="N325" s="666">
        <v>217</v>
      </c>
    </row>
    <row r="326" spans="1:14" ht="18.75">
      <c r="A326" s="680">
        <v>45979</v>
      </c>
      <c r="B326" s="42" t="s">
        <v>634</v>
      </c>
      <c r="C326" s="42">
        <v>103668</v>
      </c>
      <c r="D326" s="42" t="s">
        <v>681</v>
      </c>
      <c r="E326" s="675">
        <v>18</v>
      </c>
      <c r="F326" s="675">
        <v>1115</v>
      </c>
      <c r="G326" s="676">
        <v>160</v>
      </c>
      <c r="H326" s="676">
        <v>0</v>
      </c>
      <c r="I326" s="676">
        <v>0</v>
      </c>
      <c r="J326" s="676">
        <v>0</v>
      </c>
      <c r="K326" s="676">
        <v>0</v>
      </c>
      <c r="L326" s="676">
        <v>267</v>
      </c>
      <c r="M326" s="676">
        <v>0</v>
      </c>
      <c r="N326" s="666">
        <v>427</v>
      </c>
    </row>
    <row r="327" spans="1:14" ht="18.75">
      <c r="A327" s="680">
        <v>46130</v>
      </c>
      <c r="B327" s="42" t="s">
        <v>634</v>
      </c>
      <c r="C327" s="42">
        <v>104647</v>
      </c>
      <c r="D327" s="42" t="s">
        <v>913</v>
      </c>
      <c r="E327" s="675">
        <v>18</v>
      </c>
      <c r="F327" s="675">
        <v>1245</v>
      </c>
      <c r="G327" s="676">
        <v>2468.6999999999998</v>
      </c>
      <c r="H327" s="676">
        <v>0</v>
      </c>
      <c r="I327" s="676">
        <v>0</v>
      </c>
      <c r="J327" s="676">
        <v>30000</v>
      </c>
      <c r="K327" s="676">
        <v>0</v>
      </c>
      <c r="L327" s="676">
        <v>0</v>
      </c>
      <c r="M327" s="676">
        <v>0</v>
      </c>
      <c r="N327" s="666">
        <v>2468.6999999999998</v>
      </c>
    </row>
    <row r="328" spans="1:14" ht="18.75">
      <c r="A328" s="680">
        <v>46118</v>
      </c>
      <c r="B328" s="42" t="s">
        <v>634</v>
      </c>
      <c r="C328" s="42">
        <v>103961</v>
      </c>
      <c r="D328" s="42" t="s">
        <v>930</v>
      </c>
      <c r="E328" s="675">
        <v>20</v>
      </c>
      <c r="F328" s="675">
        <v>705</v>
      </c>
      <c r="G328" s="676">
        <v>95.8</v>
      </c>
      <c r="H328" s="676">
        <v>0</v>
      </c>
      <c r="I328" s="676">
        <v>0</v>
      </c>
      <c r="J328" s="676">
        <v>0</v>
      </c>
      <c r="K328" s="676">
        <v>0</v>
      </c>
      <c r="L328" s="676">
        <v>0</v>
      </c>
      <c r="M328" s="676">
        <v>107</v>
      </c>
      <c r="N328" s="666">
        <v>202.8</v>
      </c>
    </row>
    <row r="329" spans="1:14" ht="18.75">
      <c r="A329" s="680">
        <v>46075</v>
      </c>
      <c r="B329" s="42" t="s">
        <v>634</v>
      </c>
      <c r="C329" s="42">
        <v>103461</v>
      </c>
      <c r="D329" s="42" t="s">
        <v>783</v>
      </c>
      <c r="E329" s="675">
        <v>20</v>
      </c>
      <c r="F329" s="675">
        <v>795</v>
      </c>
      <c r="G329" s="676">
        <v>132</v>
      </c>
      <c r="H329" s="676">
        <v>0</v>
      </c>
      <c r="I329" s="676">
        <v>0</v>
      </c>
      <c r="J329" s="676">
        <v>0</v>
      </c>
      <c r="K329" s="676">
        <v>0</v>
      </c>
      <c r="L329" s="676">
        <v>0</v>
      </c>
      <c r="M329" s="676">
        <v>0</v>
      </c>
      <c r="N329" s="666">
        <v>132</v>
      </c>
    </row>
    <row r="330" spans="1:14" ht="18.75">
      <c r="A330" s="680">
        <v>46118</v>
      </c>
      <c r="B330" s="42" t="s">
        <v>634</v>
      </c>
      <c r="C330" s="42">
        <v>105165</v>
      </c>
      <c r="D330" s="42" t="s">
        <v>917</v>
      </c>
      <c r="E330" s="675">
        <v>20</v>
      </c>
      <c r="F330" s="675">
        <v>815</v>
      </c>
      <c r="G330" s="676">
        <v>68</v>
      </c>
      <c r="H330" s="676">
        <v>0</v>
      </c>
      <c r="I330" s="676">
        <v>0</v>
      </c>
      <c r="J330" s="676">
        <v>0</v>
      </c>
      <c r="K330" s="676">
        <v>0</v>
      </c>
      <c r="L330" s="676">
        <v>0</v>
      </c>
      <c r="M330" s="676">
        <v>0</v>
      </c>
      <c r="N330" s="666">
        <v>68</v>
      </c>
    </row>
    <row r="331" spans="1:14" ht="18.75">
      <c r="A331" s="680">
        <v>46107</v>
      </c>
      <c r="B331" s="42" t="s">
        <v>634</v>
      </c>
      <c r="C331" s="42">
        <v>104019</v>
      </c>
      <c r="D331" s="42" t="s">
        <v>888</v>
      </c>
      <c r="E331" s="675">
        <v>20</v>
      </c>
      <c r="F331" s="675">
        <v>975</v>
      </c>
      <c r="G331" s="676">
        <v>56</v>
      </c>
      <c r="H331" s="676">
        <v>0</v>
      </c>
      <c r="I331" s="676">
        <v>0</v>
      </c>
      <c r="J331" s="676">
        <v>0</v>
      </c>
      <c r="K331" s="676">
        <v>0</v>
      </c>
      <c r="L331" s="676">
        <v>0</v>
      </c>
      <c r="M331" s="676">
        <v>0</v>
      </c>
      <c r="N331" s="666">
        <v>56</v>
      </c>
    </row>
    <row r="332" spans="1:14" ht="18.75">
      <c r="A332" s="680">
        <v>46026</v>
      </c>
      <c r="B332" s="42" t="s">
        <v>634</v>
      </c>
      <c r="C332" s="42">
        <v>100290</v>
      </c>
      <c r="D332" s="42" t="s">
        <v>946</v>
      </c>
      <c r="E332" s="675">
        <v>20</v>
      </c>
      <c r="F332" s="675">
        <v>1095</v>
      </c>
      <c r="G332" s="676">
        <v>200</v>
      </c>
      <c r="H332" s="676">
        <v>0</v>
      </c>
      <c r="I332" s="676">
        <v>0</v>
      </c>
      <c r="J332" s="676">
        <v>0</v>
      </c>
      <c r="K332" s="676">
        <v>0</v>
      </c>
      <c r="L332" s="676">
        <v>0</v>
      </c>
      <c r="M332" s="676">
        <v>0</v>
      </c>
      <c r="N332" s="666">
        <v>200</v>
      </c>
    </row>
    <row r="333" spans="1:14" ht="18.75">
      <c r="A333" s="680">
        <v>46098</v>
      </c>
      <c r="B333" s="42" t="s">
        <v>634</v>
      </c>
      <c r="C333" s="42">
        <v>104175</v>
      </c>
      <c r="D333" s="42" t="s">
        <v>666</v>
      </c>
      <c r="E333" s="675">
        <v>20</v>
      </c>
      <c r="F333" s="675">
        <v>1190</v>
      </c>
      <c r="G333" s="676">
        <v>1223.5999999999999</v>
      </c>
      <c r="H333" s="676">
        <v>0</v>
      </c>
      <c r="I333" s="676">
        <v>0</v>
      </c>
      <c r="J333" s="676">
        <v>0</v>
      </c>
      <c r="K333" s="676">
        <v>0</v>
      </c>
      <c r="L333" s="676">
        <v>0</v>
      </c>
      <c r="M333" s="676">
        <v>0</v>
      </c>
      <c r="N333" s="666">
        <v>1223.5999999999999</v>
      </c>
    </row>
    <row r="334" spans="1:14" ht="18.75">
      <c r="A334" s="680">
        <v>46129</v>
      </c>
      <c r="B334" s="42" t="s">
        <v>634</v>
      </c>
      <c r="C334" s="42">
        <v>103832</v>
      </c>
      <c r="D334" s="42" t="s">
        <v>971</v>
      </c>
      <c r="E334" s="675">
        <v>21</v>
      </c>
      <c r="F334" s="675">
        <v>855</v>
      </c>
      <c r="G334" s="676">
        <v>181</v>
      </c>
      <c r="H334" s="676">
        <v>0</v>
      </c>
      <c r="I334" s="676">
        <v>0</v>
      </c>
      <c r="J334" s="676">
        <v>0</v>
      </c>
      <c r="K334" s="676">
        <v>0</v>
      </c>
      <c r="L334" s="676">
        <v>0</v>
      </c>
      <c r="M334" s="676">
        <v>0</v>
      </c>
      <c r="N334" s="666">
        <v>181</v>
      </c>
    </row>
    <row r="335" spans="1:14" ht="18.75">
      <c r="A335" s="680">
        <v>46047</v>
      </c>
      <c r="B335" s="42" t="s">
        <v>634</v>
      </c>
      <c r="C335" s="42">
        <v>104913</v>
      </c>
      <c r="D335" s="42" t="s">
        <v>734</v>
      </c>
      <c r="E335" s="675">
        <v>21</v>
      </c>
      <c r="F335" s="675">
        <v>895</v>
      </c>
      <c r="G335" s="676">
        <v>901.6</v>
      </c>
      <c r="H335" s="676">
        <v>0</v>
      </c>
      <c r="I335" s="676">
        <v>0</v>
      </c>
      <c r="J335" s="676">
        <v>0</v>
      </c>
      <c r="K335" s="676">
        <v>0</v>
      </c>
      <c r="L335" s="676">
        <v>0</v>
      </c>
      <c r="M335" s="676">
        <v>0</v>
      </c>
      <c r="N335" s="666">
        <v>901.6</v>
      </c>
    </row>
    <row r="336" spans="1:14" ht="18.75">
      <c r="A336" s="680">
        <v>46114</v>
      </c>
      <c r="B336" s="42" t="s">
        <v>634</v>
      </c>
      <c r="C336" s="42">
        <v>103847</v>
      </c>
      <c r="D336" s="42" t="s">
        <v>884</v>
      </c>
      <c r="E336" s="675">
        <v>21</v>
      </c>
      <c r="F336" s="675">
        <v>945</v>
      </c>
      <c r="G336" s="676">
        <v>847</v>
      </c>
      <c r="H336" s="676">
        <v>0</v>
      </c>
      <c r="I336" s="676">
        <v>0</v>
      </c>
      <c r="J336" s="676">
        <v>0</v>
      </c>
      <c r="K336" s="676">
        <v>0</v>
      </c>
      <c r="L336" s="676">
        <v>0</v>
      </c>
      <c r="M336" s="676">
        <v>0</v>
      </c>
      <c r="N336" s="666">
        <v>847</v>
      </c>
    </row>
    <row r="337" spans="1:14" ht="18.75">
      <c r="A337" s="680">
        <v>46129</v>
      </c>
      <c r="B337" s="42" t="s">
        <v>634</v>
      </c>
      <c r="C337" s="42">
        <v>103831</v>
      </c>
      <c r="D337" s="42" t="s">
        <v>889</v>
      </c>
      <c r="E337" s="675">
        <v>21</v>
      </c>
      <c r="F337" s="675">
        <v>975</v>
      </c>
      <c r="G337" s="676">
        <v>1431.8</v>
      </c>
      <c r="H337" s="676">
        <v>0</v>
      </c>
      <c r="I337" s="676">
        <v>0</v>
      </c>
      <c r="J337" s="676">
        <v>0</v>
      </c>
      <c r="K337" s="676">
        <v>0</v>
      </c>
      <c r="L337" s="676">
        <v>0</v>
      </c>
      <c r="M337" s="676">
        <v>0</v>
      </c>
      <c r="N337" s="666">
        <v>1431.8</v>
      </c>
    </row>
    <row r="338" spans="1:14" ht="18.75">
      <c r="A338" s="680">
        <v>46116</v>
      </c>
      <c r="B338" s="42" t="s">
        <v>634</v>
      </c>
      <c r="C338" s="42">
        <v>105155</v>
      </c>
      <c r="D338" s="42" t="s">
        <v>895</v>
      </c>
      <c r="E338" s="675">
        <v>21</v>
      </c>
      <c r="F338" s="675">
        <v>990</v>
      </c>
      <c r="G338" s="676">
        <v>1235.3</v>
      </c>
      <c r="H338" s="676">
        <v>0</v>
      </c>
      <c r="I338" s="676">
        <v>0</v>
      </c>
      <c r="J338" s="676">
        <v>0</v>
      </c>
      <c r="K338" s="676">
        <v>0</v>
      </c>
      <c r="L338" s="676">
        <v>0</v>
      </c>
      <c r="M338" s="676">
        <v>0</v>
      </c>
      <c r="N338" s="666">
        <v>1235.3</v>
      </c>
    </row>
    <row r="339" spans="1:14" ht="18.75">
      <c r="A339" s="680">
        <v>46115</v>
      </c>
      <c r="B339" s="42" t="s">
        <v>634</v>
      </c>
      <c r="C339" s="42">
        <v>105146</v>
      </c>
      <c r="D339" s="42" t="s">
        <v>748</v>
      </c>
      <c r="E339" s="675">
        <v>21</v>
      </c>
      <c r="F339" s="675">
        <v>1005</v>
      </c>
      <c r="G339" s="676">
        <v>55</v>
      </c>
      <c r="H339" s="676">
        <v>0</v>
      </c>
      <c r="I339" s="676">
        <v>0</v>
      </c>
      <c r="J339" s="676">
        <v>0</v>
      </c>
      <c r="K339" s="676">
        <v>0</v>
      </c>
      <c r="L339" s="676">
        <v>0</v>
      </c>
      <c r="M339" s="676">
        <v>0</v>
      </c>
      <c r="N339" s="666">
        <v>55</v>
      </c>
    </row>
    <row r="340" spans="1:14" ht="18.75">
      <c r="A340" s="680">
        <v>46129</v>
      </c>
      <c r="B340" s="42" t="s">
        <v>634</v>
      </c>
      <c r="C340" s="42">
        <v>103830</v>
      </c>
      <c r="D340" s="42" t="s">
        <v>893</v>
      </c>
      <c r="E340" s="675">
        <v>21</v>
      </c>
      <c r="F340" s="675">
        <v>1015</v>
      </c>
      <c r="G340" s="676">
        <v>3049</v>
      </c>
      <c r="H340" s="676">
        <v>0</v>
      </c>
      <c r="I340" s="676">
        <v>0</v>
      </c>
      <c r="J340" s="676">
        <v>0</v>
      </c>
      <c r="K340" s="676">
        <v>0</v>
      </c>
      <c r="L340" s="676">
        <v>0</v>
      </c>
      <c r="M340" s="676">
        <v>0</v>
      </c>
      <c r="N340" s="666">
        <v>3049</v>
      </c>
    </row>
    <row r="341" spans="1:14" ht="18.75">
      <c r="A341" s="680">
        <v>46051</v>
      </c>
      <c r="B341" s="42" t="s">
        <v>634</v>
      </c>
      <c r="C341" s="42">
        <v>105147</v>
      </c>
      <c r="D341" s="42" t="s">
        <v>738</v>
      </c>
      <c r="E341" s="675">
        <v>21</v>
      </c>
      <c r="F341" s="675">
        <v>1035</v>
      </c>
      <c r="G341" s="676">
        <v>196</v>
      </c>
      <c r="H341" s="676">
        <v>0</v>
      </c>
      <c r="I341" s="676">
        <v>0</v>
      </c>
      <c r="J341" s="676">
        <v>0</v>
      </c>
      <c r="K341" s="676">
        <v>0</v>
      </c>
      <c r="L341" s="676">
        <v>0</v>
      </c>
      <c r="M341" s="676">
        <v>0</v>
      </c>
      <c r="N341" s="666">
        <v>196</v>
      </c>
    </row>
    <row r="342" spans="1:14" ht="18.75">
      <c r="A342" s="680">
        <v>46063</v>
      </c>
      <c r="B342" s="42" t="s">
        <v>634</v>
      </c>
      <c r="C342" s="42">
        <v>103855</v>
      </c>
      <c r="D342" s="42" t="s">
        <v>736</v>
      </c>
      <c r="E342" s="675">
        <v>21</v>
      </c>
      <c r="F342" s="675">
        <v>1095</v>
      </c>
      <c r="G342" s="676">
        <v>941</v>
      </c>
      <c r="H342" s="676">
        <v>0</v>
      </c>
      <c r="I342" s="676">
        <v>0</v>
      </c>
      <c r="J342" s="676">
        <v>0</v>
      </c>
      <c r="K342" s="676">
        <v>0</v>
      </c>
      <c r="L342" s="676">
        <v>0</v>
      </c>
      <c r="M342" s="676">
        <v>0</v>
      </c>
      <c r="N342" s="666">
        <v>941</v>
      </c>
    </row>
    <row r="343" spans="1:14" ht="18.75">
      <c r="A343" s="680">
        <v>46129</v>
      </c>
      <c r="B343" s="42" t="s">
        <v>634</v>
      </c>
      <c r="C343" s="42">
        <v>103829</v>
      </c>
      <c r="D343" s="42" t="s">
        <v>816</v>
      </c>
      <c r="E343" s="675">
        <v>21</v>
      </c>
      <c r="F343" s="675">
        <v>1115</v>
      </c>
      <c r="G343" s="676">
        <v>5115.6000000000004</v>
      </c>
      <c r="H343" s="676">
        <v>0</v>
      </c>
      <c r="I343" s="676">
        <v>0</v>
      </c>
      <c r="J343" s="676">
        <v>0</v>
      </c>
      <c r="K343" s="676">
        <v>0</v>
      </c>
      <c r="L343" s="676">
        <v>298</v>
      </c>
      <c r="M343" s="676">
        <v>0</v>
      </c>
      <c r="N343" s="666">
        <v>5413.6</v>
      </c>
    </row>
    <row r="344" spans="1:14" ht="18.75">
      <c r="A344" s="680">
        <v>46129</v>
      </c>
      <c r="B344" s="42" t="s">
        <v>634</v>
      </c>
      <c r="C344" s="42">
        <v>105129</v>
      </c>
      <c r="D344" s="42" t="s">
        <v>787</v>
      </c>
      <c r="E344" s="675">
        <v>21</v>
      </c>
      <c r="F344" s="675">
        <v>1175</v>
      </c>
      <c r="G344" s="676">
        <v>1092</v>
      </c>
      <c r="H344" s="676">
        <v>0</v>
      </c>
      <c r="I344" s="676">
        <v>0</v>
      </c>
      <c r="J344" s="676">
        <v>0</v>
      </c>
      <c r="K344" s="676">
        <v>0</v>
      </c>
      <c r="L344" s="676">
        <v>0</v>
      </c>
      <c r="M344" s="676">
        <v>0</v>
      </c>
      <c r="N344" s="666">
        <v>1092</v>
      </c>
    </row>
    <row r="345" spans="1:14" ht="18.75">
      <c r="A345" s="680">
        <v>46129</v>
      </c>
      <c r="B345" s="42" t="s">
        <v>634</v>
      </c>
      <c r="C345" s="42">
        <v>104668</v>
      </c>
      <c r="D345" s="42" t="s">
        <v>928</v>
      </c>
      <c r="E345" s="675">
        <v>21</v>
      </c>
      <c r="F345" s="675">
        <v>1215</v>
      </c>
      <c r="G345" s="676">
        <v>11</v>
      </c>
      <c r="H345" s="676">
        <v>0</v>
      </c>
      <c r="I345" s="676">
        <v>0</v>
      </c>
      <c r="J345" s="676">
        <v>0</v>
      </c>
      <c r="K345" s="676">
        <v>0</v>
      </c>
      <c r="L345" s="676">
        <v>0</v>
      </c>
      <c r="M345" s="676">
        <v>0</v>
      </c>
      <c r="N345" s="666">
        <v>11</v>
      </c>
    </row>
    <row r="346" spans="1:14" ht="18.75">
      <c r="A346" s="680">
        <v>46133</v>
      </c>
      <c r="B346" s="42" t="s">
        <v>634</v>
      </c>
      <c r="C346" s="42">
        <v>104694</v>
      </c>
      <c r="D346" s="42" t="s">
        <v>766</v>
      </c>
      <c r="E346" s="675">
        <v>22</v>
      </c>
      <c r="F346" s="675">
        <v>710</v>
      </c>
      <c r="G346" s="676">
        <v>4768.8999999999996</v>
      </c>
      <c r="H346" s="676">
        <v>0</v>
      </c>
      <c r="I346" s="676">
        <v>0</v>
      </c>
      <c r="J346" s="676">
        <v>4566.6000000000004</v>
      </c>
      <c r="K346" s="676">
        <v>2566.6</v>
      </c>
      <c r="L346" s="676">
        <v>0</v>
      </c>
      <c r="M346" s="676">
        <v>0</v>
      </c>
      <c r="N346" s="666">
        <v>4768.8999999999996</v>
      </c>
    </row>
    <row r="347" spans="1:14" ht="18.75">
      <c r="A347" s="680">
        <v>46133</v>
      </c>
      <c r="B347" s="42" t="s">
        <v>634</v>
      </c>
      <c r="C347" s="42">
        <v>104606</v>
      </c>
      <c r="D347" s="42" t="s">
        <v>862</v>
      </c>
      <c r="E347" s="675">
        <v>22</v>
      </c>
      <c r="F347" s="675">
        <v>890</v>
      </c>
      <c r="G347" s="676">
        <v>3360</v>
      </c>
      <c r="H347" s="676">
        <v>0</v>
      </c>
      <c r="I347" s="676">
        <v>0</v>
      </c>
      <c r="J347" s="676">
        <v>870.4</v>
      </c>
      <c r="K347" s="676">
        <v>870.4</v>
      </c>
      <c r="L347" s="676">
        <v>0</v>
      </c>
      <c r="M347" s="676">
        <v>0</v>
      </c>
      <c r="N347" s="666">
        <v>3360</v>
      </c>
    </row>
    <row r="348" spans="1:14" ht="18.75">
      <c r="A348" s="680">
        <v>46140</v>
      </c>
      <c r="B348" s="42" t="s">
        <v>634</v>
      </c>
      <c r="C348" s="42">
        <v>105102</v>
      </c>
      <c r="D348" s="42" t="s">
        <v>901</v>
      </c>
      <c r="E348" s="675">
        <v>22</v>
      </c>
      <c r="F348" s="675">
        <v>1045</v>
      </c>
      <c r="G348" s="676">
        <v>2104.8000000000002</v>
      </c>
      <c r="H348" s="676">
        <v>0</v>
      </c>
      <c r="I348" s="676">
        <v>0</v>
      </c>
      <c r="J348" s="676">
        <v>0</v>
      </c>
      <c r="K348" s="676">
        <v>0</v>
      </c>
      <c r="L348" s="676">
        <v>2201.4</v>
      </c>
      <c r="M348" s="676">
        <v>0</v>
      </c>
      <c r="N348" s="666">
        <v>4306.2</v>
      </c>
    </row>
    <row r="349" spans="1:14" ht="18.75">
      <c r="A349" s="680">
        <v>46050</v>
      </c>
      <c r="B349" s="42" t="s">
        <v>634</v>
      </c>
      <c r="C349" s="42">
        <v>105013</v>
      </c>
      <c r="D349" s="42" t="s">
        <v>741</v>
      </c>
      <c r="E349" s="675">
        <v>25</v>
      </c>
      <c r="F349" s="675">
        <v>735</v>
      </c>
      <c r="G349" s="676">
        <v>63</v>
      </c>
      <c r="H349" s="676">
        <v>0</v>
      </c>
      <c r="I349" s="676">
        <v>0</v>
      </c>
      <c r="J349" s="676">
        <v>0</v>
      </c>
      <c r="K349" s="676">
        <v>0</v>
      </c>
      <c r="L349" s="676">
        <v>0</v>
      </c>
      <c r="M349" s="676">
        <v>0</v>
      </c>
      <c r="N349" s="666">
        <v>63</v>
      </c>
    </row>
    <row r="350" spans="1:14" ht="18.75">
      <c r="A350" s="680">
        <v>46032</v>
      </c>
      <c r="B350" s="42" t="s">
        <v>634</v>
      </c>
      <c r="C350" s="42">
        <v>104852</v>
      </c>
      <c r="D350" s="42" t="s">
        <v>947</v>
      </c>
      <c r="E350" s="675">
        <v>25</v>
      </c>
      <c r="F350" s="675">
        <v>795</v>
      </c>
      <c r="G350" s="676">
        <v>244</v>
      </c>
      <c r="H350" s="676">
        <v>0</v>
      </c>
      <c r="I350" s="676">
        <v>0</v>
      </c>
      <c r="J350" s="676">
        <v>0</v>
      </c>
      <c r="K350" s="676">
        <v>0</v>
      </c>
      <c r="L350" s="676">
        <v>0</v>
      </c>
      <c r="M350" s="676">
        <v>0</v>
      </c>
      <c r="N350" s="666">
        <v>244</v>
      </c>
    </row>
    <row r="351" spans="1:14" ht="18.75">
      <c r="A351" s="680">
        <v>46134</v>
      </c>
      <c r="B351" s="42" t="s">
        <v>634</v>
      </c>
      <c r="C351" s="42">
        <v>100676</v>
      </c>
      <c r="D351" s="42" t="s">
        <v>761</v>
      </c>
      <c r="E351" s="675">
        <v>25</v>
      </c>
      <c r="F351" s="675">
        <v>855</v>
      </c>
      <c r="G351" s="676">
        <v>1249.4000000000001</v>
      </c>
      <c r="H351" s="676">
        <v>0</v>
      </c>
      <c r="I351" s="676">
        <v>0</v>
      </c>
      <c r="J351" s="676">
        <v>0</v>
      </c>
      <c r="K351" s="676">
        <v>26.6</v>
      </c>
      <c r="L351" s="676">
        <v>0</v>
      </c>
      <c r="M351" s="676">
        <v>0</v>
      </c>
      <c r="N351" s="666">
        <v>1249.4000000000001</v>
      </c>
    </row>
    <row r="352" spans="1:14" ht="18.75">
      <c r="A352" s="680">
        <v>46134</v>
      </c>
      <c r="B352" s="42" t="s">
        <v>634</v>
      </c>
      <c r="C352" s="42">
        <v>103125</v>
      </c>
      <c r="D352" s="42" t="s">
        <v>960</v>
      </c>
      <c r="E352" s="675">
        <v>25</v>
      </c>
      <c r="F352" s="675">
        <v>895</v>
      </c>
      <c r="G352" s="676">
        <v>165</v>
      </c>
      <c r="H352" s="676">
        <v>0</v>
      </c>
      <c r="I352" s="676">
        <v>0</v>
      </c>
      <c r="J352" s="676">
        <v>0</v>
      </c>
      <c r="K352" s="676">
        <v>0</v>
      </c>
      <c r="L352" s="676">
        <v>0</v>
      </c>
      <c r="M352" s="676">
        <v>0</v>
      </c>
      <c r="N352" s="666">
        <v>165</v>
      </c>
    </row>
    <row r="353" spans="1:14" ht="18.75">
      <c r="A353" s="680">
        <v>46107</v>
      </c>
      <c r="B353" s="42" t="s">
        <v>634</v>
      </c>
      <c r="C353" s="42">
        <v>102343</v>
      </c>
      <c r="D353" s="42" t="s">
        <v>927</v>
      </c>
      <c r="E353" s="675">
        <v>25</v>
      </c>
      <c r="F353" s="675">
        <v>905</v>
      </c>
      <c r="G353" s="676">
        <v>230</v>
      </c>
      <c r="H353" s="676">
        <v>0</v>
      </c>
      <c r="I353" s="676">
        <v>0</v>
      </c>
      <c r="J353" s="676">
        <v>0</v>
      </c>
      <c r="K353" s="676">
        <v>0</v>
      </c>
      <c r="L353" s="676">
        <v>0</v>
      </c>
      <c r="M353" s="676">
        <v>0</v>
      </c>
      <c r="N353" s="666">
        <v>230</v>
      </c>
    </row>
    <row r="354" spans="1:14" ht="18.75">
      <c r="A354" s="680">
        <v>46134</v>
      </c>
      <c r="B354" s="42" t="s">
        <v>634</v>
      </c>
      <c r="C354" s="42">
        <v>103808</v>
      </c>
      <c r="D354" s="42" t="s">
        <v>972</v>
      </c>
      <c r="E354" s="675">
        <v>25</v>
      </c>
      <c r="F354" s="675">
        <v>1015</v>
      </c>
      <c r="G354" s="676">
        <v>181.4</v>
      </c>
      <c r="H354" s="676">
        <v>0</v>
      </c>
      <c r="I354" s="676">
        <v>0</v>
      </c>
      <c r="J354" s="676">
        <v>0</v>
      </c>
      <c r="K354" s="676">
        <v>0</v>
      </c>
      <c r="L354" s="676">
        <v>0</v>
      </c>
      <c r="M354" s="676">
        <v>0</v>
      </c>
      <c r="N354" s="666">
        <v>181.4</v>
      </c>
    </row>
    <row r="355" spans="1:14" ht="18.75">
      <c r="A355" s="680">
        <v>46113</v>
      </c>
      <c r="B355" s="42" t="s">
        <v>634</v>
      </c>
      <c r="C355" s="42">
        <v>104168</v>
      </c>
      <c r="D355" s="42" t="s">
        <v>638</v>
      </c>
      <c r="E355" s="675">
        <v>25</v>
      </c>
      <c r="F355" s="675">
        <v>1047</v>
      </c>
      <c r="G355" s="676">
        <v>962.2</v>
      </c>
      <c r="H355" s="676">
        <v>0</v>
      </c>
      <c r="I355" s="676">
        <v>0</v>
      </c>
      <c r="J355" s="676">
        <v>20500</v>
      </c>
      <c r="K355" s="676">
        <v>0</v>
      </c>
      <c r="L355" s="676">
        <v>0</v>
      </c>
      <c r="M355" s="676">
        <v>252</v>
      </c>
      <c r="N355" s="666">
        <v>1214.2</v>
      </c>
    </row>
    <row r="356" spans="1:14" ht="18.75">
      <c r="A356" s="680">
        <v>46134</v>
      </c>
      <c r="B356" s="42" t="s">
        <v>634</v>
      </c>
      <c r="C356" s="42">
        <v>100240</v>
      </c>
      <c r="D356" s="42" t="s">
        <v>961</v>
      </c>
      <c r="E356" s="675">
        <v>25</v>
      </c>
      <c r="F356" s="675">
        <v>1115</v>
      </c>
      <c r="G356" s="676">
        <v>61.9</v>
      </c>
      <c r="H356" s="676">
        <v>0</v>
      </c>
      <c r="I356" s="676">
        <v>0</v>
      </c>
      <c r="J356" s="676">
        <v>0</v>
      </c>
      <c r="K356" s="676">
        <v>0</v>
      </c>
      <c r="L356" s="676">
        <v>0</v>
      </c>
      <c r="M356" s="676">
        <v>0</v>
      </c>
      <c r="N356" s="666">
        <v>61.9</v>
      </c>
    </row>
    <row r="357" spans="1:14" ht="18.75">
      <c r="A357" s="680">
        <v>46141</v>
      </c>
      <c r="B357" s="42" t="s">
        <v>634</v>
      </c>
      <c r="C357" s="42">
        <v>104430</v>
      </c>
      <c r="D357" s="42" t="s">
        <v>973</v>
      </c>
      <c r="E357" s="675">
        <v>25</v>
      </c>
      <c r="F357" s="675">
        <v>1115</v>
      </c>
      <c r="G357" s="676">
        <v>3656.3</v>
      </c>
      <c r="H357" s="676">
        <v>0</v>
      </c>
      <c r="I357" s="676">
        <v>0</v>
      </c>
      <c r="J357" s="676">
        <v>1500</v>
      </c>
      <c r="K357" s="676">
        <v>0</v>
      </c>
      <c r="L357" s="676">
        <v>0</v>
      </c>
      <c r="M357" s="676">
        <v>0</v>
      </c>
      <c r="N357" s="666">
        <v>3656.3</v>
      </c>
    </row>
    <row r="358" spans="1:14" ht="18.75">
      <c r="A358" s="680">
        <v>46134</v>
      </c>
      <c r="B358" s="42" t="s">
        <v>634</v>
      </c>
      <c r="C358" s="42">
        <v>100412</v>
      </c>
      <c r="D358" s="42" t="s">
        <v>885</v>
      </c>
      <c r="E358" s="675">
        <v>25</v>
      </c>
      <c r="F358" s="675">
        <v>1135</v>
      </c>
      <c r="G358" s="676">
        <v>437</v>
      </c>
      <c r="H358" s="676">
        <v>0</v>
      </c>
      <c r="I358" s="676">
        <v>0</v>
      </c>
      <c r="J358" s="676">
        <v>0</v>
      </c>
      <c r="K358" s="676">
        <v>0</v>
      </c>
      <c r="L358" s="676">
        <v>0</v>
      </c>
      <c r="M358" s="676">
        <v>0</v>
      </c>
      <c r="N358" s="666">
        <v>437</v>
      </c>
    </row>
    <row r="359" spans="1:14" ht="18.75">
      <c r="A359" s="680">
        <v>46140</v>
      </c>
      <c r="B359" s="42" t="s">
        <v>634</v>
      </c>
      <c r="C359" s="42">
        <v>104432</v>
      </c>
      <c r="D359" s="42" t="s">
        <v>790</v>
      </c>
      <c r="E359" s="675">
        <v>25</v>
      </c>
      <c r="F359" s="675">
        <v>1215</v>
      </c>
      <c r="G359" s="676">
        <v>2036</v>
      </c>
      <c r="H359" s="676">
        <v>0</v>
      </c>
      <c r="I359" s="676">
        <v>0</v>
      </c>
      <c r="J359" s="676">
        <v>5500</v>
      </c>
      <c r="K359" s="676">
        <v>0</v>
      </c>
      <c r="L359" s="676">
        <v>0</v>
      </c>
      <c r="M359" s="676">
        <v>268.60000000000002</v>
      </c>
      <c r="N359" s="666">
        <v>2304.6</v>
      </c>
    </row>
    <row r="360" spans="1:14" ht="18.75">
      <c r="A360" s="680">
        <v>45663</v>
      </c>
      <c r="B360" s="42" t="s">
        <v>634</v>
      </c>
      <c r="C360" s="42">
        <v>100423</v>
      </c>
      <c r="D360" s="42" t="s">
        <v>762</v>
      </c>
      <c r="E360" s="675">
        <v>30</v>
      </c>
      <c r="F360" s="675">
        <v>615</v>
      </c>
      <c r="G360" s="676">
        <v>93.5</v>
      </c>
      <c r="H360" s="676">
        <v>0</v>
      </c>
      <c r="I360" s="676">
        <v>0</v>
      </c>
      <c r="J360" s="676">
        <v>0</v>
      </c>
      <c r="K360" s="676">
        <v>0</v>
      </c>
      <c r="L360" s="676">
        <v>0</v>
      </c>
      <c r="M360" s="676">
        <v>0</v>
      </c>
      <c r="N360" s="666">
        <v>93.5</v>
      </c>
    </row>
    <row r="361" spans="1:14" ht="18.75">
      <c r="A361" s="680">
        <v>46089</v>
      </c>
      <c r="B361" s="42" t="s">
        <v>634</v>
      </c>
      <c r="C361" s="42">
        <v>102897</v>
      </c>
      <c r="D361" s="42" t="s">
        <v>935</v>
      </c>
      <c r="E361" s="675">
        <v>30</v>
      </c>
      <c r="F361" s="675">
        <v>615</v>
      </c>
      <c r="G361" s="676">
        <v>120</v>
      </c>
      <c r="H361" s="676">
        <v>0</v>
      </c>
      <c r="I361" s="676">
        <v>0</v>
      </c>
      <c r="J361" s="676">
        <v>0</v>
      </c>
      <c r="K361" s="676">
        <v>0</v>
      </c>
      <c r="L361" s="676">
        <v>0</v>
      </c>
      <c r="M361" s="676">
        <v>0</v>
      </c>
      <c r="N361" s="666">
        <v>120</v>
      </c>
    </row>
    <row r="362" spans="1:14" ht="18.75">
      <c r="A362" s="680">
        <v>46103</v>
      </c>
      <c r="B362" s="42" t="s">
        <v>634</v>
      </c>
      <c r="C362" s="42">
        <v>100844</v>
      </c>
      <c r="D362" s="42" t="s">
        <v>850</v>
      </c>
      <c r="E362" s="675">
        <v>30</v>
      </c>
      <c r="F362" s="675">
        <v>695</v>
      </c>
      <c r="G362" s="676">
        <v>78.8</v>
      </c>
      <c r="H362" s="676">
        <v>0</v>
      </c>
      <c r="I362" s="676">
        <v>0</v>
      </c>
      <c r="J362" s="676">
        <v>300</v>
      </c>
      <c r="K362" s="676">
        <v>0</v>
      </c>
      <c r="L362" s="676">
        <v>0</v>
      </c>
      <c r="M362" s="676">
        <v>0</v>
      </c>
      <c r="N362" s="666">
        <v>78.8</v>
      </c>
    </row>
    <row r="363" spans="1:14" ht="18.75">
      <c r="A363" s="680">
        <v>46089</v>
      </c>
      <c r="B363" s="42" t="s">
        <v>634</v>
      </c>
      <c r="C363" s="42">
        <v>100926</v>
      </c>
      <c r="D363" s="42" t="s">
        <v>929</v>
      </c>
      <c r="E363" s="675">
        <v>30</v>
      </c>
      <c r="F363" s="675">
        <v>695</v>
      </c>
      <c r="G363" s="676">
        <v>93.5</v>
      </c>
      <c r="H363" s="676">
        <v>0</v>
      </c>
      <c r="I363" s="676">
        <v>0</v>
      </c>
      <c r="J363" s="676">
        <v>0</v>
      </c>
      <c r="K363" s="676">
        <v>0</v>
      </c>
      <c r="L363" s="676">
        <v>0</v>
      </c>
      <c r="M363" s="676">
        <v>0</v>
      </c>
      <c r="N363" s="666">
        <v>93.5</v>
      </c>
    </row>
    <row r="364" spans="1:14" ht="18.75">
      <c r="A364" s="680">
        <v>46134</v>
      </c>
      <c r="B364" s="42" t="s">
        <v>634</v>
      </c>
      <c r="C364" s="42">
        <v>104695</v>
      </c>
      <c r="D364" s="42" t="s">
        <v>635</v>
      </c>
      <c r="E364" s="675">
        <v>30</v>
      </c>
      <c r="F364" s="675">
        <v>705</v>
      </c>
      <c r="G364" s="676">
        <v>4049.8</v>
      </c>
      <c r="H364" s="676">
        <v>0</v>
      </c>
      <c r="I364" s="676">
        <v>0</v>
      </c>
      <c r="J364" s="676">
        <v>7916.6</v>
      </c>
      <c r="K364" s="676">
        <v>4916.6000000000004</v>
      </c>
      <c r="L364" s="676">
        <v>0</v>
      </c>
      <c r="M364" s="676">
        <v>0</v>
      </c>
      <c r="N364" s="666">
        <v>4049.8</v>
      </c>
    </row>
    <row r="365" spans="1:14" ht="18.75">
      <c r="A365" s="680">
        <v>46133</v>
      </c>
      <c r="B365" s="42" t="s">
        <v>634</v>
      </c>
      <c r="C365" s="42">
        <v>103209</v>
      </c>
      <c r="D365" s="42" t="s">
        <v>974</v>
      </c>
      <c r="E365" s="675">
        <v>30</v>
      </c>
      <c r="F365" s="675">
        <v>735</v>
      </c>
      <c r="G365" s="676">
        <v>55.5</v>
      </c>
      <c r="H365" s="676">
        <v>0</v>
      </c>
      <c r="I365" s="676">
        <v>0</v>
      </c>
      <c r="J365" s="676">
        <v>0</v>
      </c>
      <c r="K365" s="676">
        <v>0</v>
      </c>
      <c r="L365" s="676">
        <v>0</v>
      </c>
      <c r="M365" s="676">
        <v>0</v>
      </c>
      <c r="N365" s="666">
        <v>55.5</v>
      </c>
    </row>
    <row r="366" spans="1:14" ht="18.75">
      <c r="A366" s="680">
        <v>46117</v>
      </c>
      <c r="B366" s="42" t="s">
        <v>634</v>
      </c>
      <c r="C366" s="42">
        <v>105223</v>
      </c>
      <c r="D366" s="42" t="s">
        <v>863</v>
      </c>
      <c r="E366" s="675">
        <v>30</v>
      </c>
      <c r="F366" s="675">
        <v>735</v>
      </c>
      <c r="G366" s="676">
        <v>1613.2</v>
      </c>
      <c r="H366" s="676">
        <v>0</v>
      </c>
      <c r="I366" s="676">
        <v>0</v>
      </c>
      <c r="J366" s="676">
        <v>0</v>
      </c>
      <c r="K366" s="676">
        <v>0</v>
      </c>
      <c r="L366" s="676">
        <v>0</v>
      </c>
      <c r="M366" s="676">
        <v>0</v>
      </c>
      <c r="N366" s="666">
        <v>1613.2</v>
      </c>
    </row>
    <row r="367" spans="1:14" ht="18.75">
      <c r="A367" s="680">
        <v>45504</v>
      </c>
      <c r="B367" s="42" t="s">
        <v>634</v>
      </c>
      <c r="C367" s="42">
        <v>104283</v>
      </c>
      <c r="D367" s="42" t="s">
        <v>955</v>
      </c>
      <c r="E367" s="675">
        <v>30</v>
      </c>
      <c r="F367" s="675">
        <v>760</v>
      </c>
      <c r="G367" s="676">
        <v>260.89999999999998</v>
      </c>
      <c r="H367" s="676">
        <v>0</v>
      </c>
      <c r="I367" s="676">
        <v>0</v>
      </c>
      <c r="J367" s="676">
        <v>0</v>
      </c>
      <c r="K367" s="676">
        <v>0</v>
      </c>
      <c r="L367" s="676">
        <v>0</v>
      </c>
      <c r="M367" s="676">
        <v>0</v>
      </c>
      <c r="N367" s="666">
        <v>260.89999999999998</v>
      </c>
    </row>
    <row r="368" spans="1:14" ht="18.75">
      <c r="A368" s="680">
        <v>46074</v>
      </c>
      <c r="B368" s="42" t="s">
        <v>634</v>
      </c>
      <c r="C368" s="42">
        <v>103708</v>
      </c>
      <c r="D368" s="42" t="s">
        <v>784</v>
      </c>
      <c r="E368" s="675">
        <v>30</v>
      </c>
      <c r="F368" s="675">
        <v>765</v>
      </c>
      <c r="G368" s="676">
        <v>110.2</v>
      </c>
      <c r="H368" s="676">
        <v>0</v>
      </c>
      <c r="I368" s="676">
        <v>0</v>
      </c>
      <c r="J368" s="676">
        <v>0</v>
      </c>
      <c r="K368" s="676">
        <v>0</v>
      </c>
      <c r="L368" s="676">
        <v>0</v>
      </c>
      <c r="M368" s="676">
        <v>0</v>
      </c>
      <c r="N368" s="666">
        <v>110.2</v>
      </c>
    </row>
    <row r="369" spans="1:14" ht="18.75">
      <c r="A369" s="680">
        <v>46117</v>
      </c>
      <c r="B369" s="42" t="s">
        <v>634</v>
      </c>
      <c r="C369" s="42">
        <v>105047</v>
      </c>
      <c r="D369" s="42" t="s">
        <v>688</v>
      </c>
      <c r="E369" s="675">
        <v>30</v>
      </c>
      <c r="F369" s="675">
        <v>795</v>
      </c>
      <c r="G369" s="676">
        <v>2021.4</v>
      </c>
      <c r="H369" s="676">
        <v>0</v>
      </c>
      <c r="I369" s="676">
        <v>0</v>
      </c>
      <c r="J369" s="676">
        <v>0</v>
      </c>
      <c r="K369" s="676">
        <v>0</v>
      </c>
      <c r="L369" s="676">
        <v>0</v>
      </c>
      <c r="M369" s="676">
        <v>0</v>
      </c>
      <c r="N369" s="666">
        <v>2021.4</v>
      </c>
    </row>
    <row r="370" spans="1:14" ht="18.75">
      <c r="A370" s="680">
        <v>46074</v>
      </c>
      <c r="B370" s="42" t="s">
        <v>634</v>
      </c>
      <c r="C370" s="42">
        <v>100428</v>
      </c>
      <c r="D370" s="42" t="s">
        <v>768</v>
      </c>
      <c r="E370" s="675">
        <v>30</v>
      </c>
      <c r="F370" s="675">
        <v>815</v>
      </c>
      <c r="G370" s="676">
        <v>275.39999999999998</v>
      </c>
      <c r="H370" s="676">
        <v>0</v>
      </c>
      <c r="I370" s="676">
        <v>0</v>
      </c>
      <c r="J370" s="676">
        <v>0</v>
      </c>
      <c r="K370" s="676">
        <v>0</v>
      </c>
      <c r="L370" s="676">
        <v>0</v>
      </c>
      <c r="M370" s="676">
        <v>0</v>
      </c>
      <c r="N370" s="666">
        <v>275.39999999999998</v>
      </c>
    </row>
    <row r="371" spans="1:14" ht="18.75">
      <c r="A371" s="680">
        <v>46115</v>
      </c>
      <c r="B371" s="42" t="s">
        <v>634</v>
      </c>
      <c r="C371" s="42">
        <v>105214</v>
      </c>
      <c r="D371" s="42" t="s">
        <v>890</v>
      </c>
      <c r="E371" s="675">
        <v>30</v>
      </c>
      <c r="F371" s="675">
        <v>820</v>
      </c>
      <c r="G371" s="676">
        <v>484</v>
      </c>
      <c r="H371" s="676">
        <v>0</v>
      </c>
      <c r="I371" s="676">
        <v>0</v>
      </c>
      <c r="J371" s="676">
        <v>0</v>
      </c>
      <c r="K371" s="676">
        <v>0</v>
      </c>
      <c r="L371" s="676">
        <v>0</v>
      </c>
      <c r="M371" s="676">
        <v>0</v>
      </c>
      <c r="N371" s="666">
        <v>484</v>
      </c>
    </row>
    <row r="372" spans="1:14" ht="18.75">
      <c r="A372" s="680">
        <v>46121</v>
      </c>
      <c r="B372" s="42" t="s">
        <v>634</v>
      </c>
      <c r="C372" s="42">
        <v>103215</v>
      </c>
      <c r="D372" s="42" t="s">
        <v>936</v>
      </c>
      <c r="E372" s="675">
        <v>30</v>
      </c>
      <c r="F372" s="675">
        <v>855</v>
      </c>
      <c r="G372" s="676">
        <v>86.6</v>
      </c>
      <c r="H372" s="676">
        <v>0</v>
      </c>
      <c r="I372" s="676">
        <v>0</v>
      </c>
      <c r="J372" s="676">
        <v>450</v>
      </c>
      <c r="K372" s="676">
        <v>0</v>
      </c>
      <c r="L372" s="676">
        <v>0</v>
      </c>
      <c r="M372" s="676">
        <v>0</v>
      </c>
      <c r="N372" s="666">
        <v>86.6</v>
      </c>
    </row>
    <row r="373" spans="1:14" ht="18.75">
      <c r="A373" s="680">
        <v>46067</v>
      </c>
      <c r="B373" s="42" t="s">
        <v>634</v>
      </c>
      <c r="C373" s="42">
        <v>100805</v>
      </c>
      <c r="D373" s="42" t="s">
        <v>758</v>
      </c>
      <c r="E373" s="675">
        <v>30</v>
      </c>
      <c r="F373" s="675">
        <v>870</v>
      </c>
      <c r="G373" s="676">
        <v>349</v>
      </c>
      <c r="H373" s="676">
        <v>0</v>
      </c>
      <c r="I373" s="676">
        <v>0</v>
      </c>
      <c r="J373" s="676">
        <v>0</v>
      </c>
      <c r="K373" s="676">
        <v>0</v>
      </c>
      <c r="L373" s="676">
        <v>0</v>
      </c>
      <c r="M373" s="676">
        <v>0</v>
      </c>
      <c r="N373" s="666">
        <v>349</v>
      </c>
    </row>
    <row r="374" spans="1:14" ht="18.75">
      <c r="A374" s="674"/>
      <c r="B374" s="42" t="s">
        <v>634</v>
      </c>
      <c r="C374" s="42">
        <v>105213</v>
      </c>
      <c r="D374" s="42" t="s">
        <v>896</v>
      </c>
      <c r="E374" s="675">
        <v>30</v>
      </c>
      <c r="F374" s="675">
        <v>870</v>
      </c>
      <c r="G374" s="676">
        <v>453</v>
      </c>
      <c r="H374" s="676">
        <v>0</v>
      </c>
      <c r="I374" s="676">
        <v>0</v>
      </c>
      <c r="J374" s="676">
        <v>0</v>
      </c>
      <c r="K374" s="676">
        <v>0</v>
      </c>
      <c r="L374" s="676">
        <v>0</v>
      </c>
      <c r="M374" s="676">
        <v>0</v>
      </c>
      <c r="N374" s="666">
        <v>453</v>
      </c>
    </row>
    <row r="375" spans="1:14" ht="18.75">
      <c r="A375" s="680">
        <v>46134</v>
      </c>
      <c r="B375" s="42" t="s">
        <v>634</v>
      </c>
      <c r="C375" s="42">
        <v>104317</v>
      </c>
      <c r="D375" s="42" t="s">
        <v>864</v>
      </c>
      <c r="E375" s="675">
        <v>30</v>
      </c>
      <c r="F375" s="675">
        <v>885</v>
      </c>
      <c r="G375" s="676">
        <v>3349.6</v>
      </c>
      <c r="H375" s="676">
        <v>0</v>
      </c>
      <c r="I375" s="676">
        <v>0</v>
      </c>
      <c r="J375" s="676">
        <v>1805.4</v>
      </c>
      <c r="K375" s="676">
        <v>1805.4</v>
      </c>
      <c r="L375" s="676">
        <v>0</v>
      </c>
      <c r="M375" s="676">
        <v>0</v>
      </c>
      <c r="N375" s="666">
        <v>3349.6</v>
      </c>
    </row>
    <row r="376" spans="1:14" ht="18.75">
      <c r="A376" s="680">
        <v>46134</v>
      </c>
      <c r="B376" s="42" t="s">
        <v>634</v>
      </c>
      <c r="C376" s="42">
        <v>103658</v>
      </c>
      <c r="D376" s="42" t="s">
        <v>821</v>
      </c>
      <c r="E376" s="675">
        <v>30</v>
      </c>
      <c r="F376" s="675">
        <v>915</v>
      </c>
      <c r="G376" s="676">
        <v>263</v>
      </c>
      <c r="H376" s="676">
        <v>0</v>
      </c>
      <c r="I376" s="676">
        <v>0</v>
      </c>
      <c r="J376" s="676">
        <v>0</v>
      </c>
      <c r="K376" s="676">
        <v>0</v>
      </c>
      <c r="L376" s="676">
        <v>0</v>
      </c>
      <c r="M376" s="676">
        <v>0</v>
      </c>
      <c r="N376" s="666">
        <v>263</v>
      </c>
    </row>
    <row r="377" spans="1:14" ht="18.75">
      <c r="A377" s="680">
        <v>46070</v>
      </c>
      <c r="B377" s="42" t="s">
        <v>634</v>
      </c>
      <c r="C377" s="42">
        <v>104195</v>
      </c>
      <c r="D377" s="42" t="s">
        <v>822</v>
      </c>
      <c r="E377" s="675">
        <v>30</v>
      </c>
      <c r="F377" s="675">
        <v>915</v>
      </c>
      <c r="G377" s="676">
        <v>184</v>
      </c>
      <c r="H377" s="676">
        <v>0</v>
      </c>
      <c r="I377" s="676">
        <v>0</v>
      </c>
      <c r="J377" s="676">
        <v>0</v>
      </c>
      <c r="K377" s="676">
        <v>0</v>
      </c>
      <c r="L377" s="676">
        <v>0</v>
      </c>
      <c r="M377" s="676">
        <v>0</v>
      </c>
      <c r="N377" s="666">
        <v>184</v>
      </c>
    </row>
    <row r="378" spans="1:14" ht="18.75">
      <c r="A378" s="680">
        <v>46134</v>
      </c>
      <c r="B378" s="42" t="s">
        <v>634</v>
      </c>
      <c r="C378" s="42">
        <v>103404</v>
      </c>
      <c r="D378" s="42" t="s">
        <v>959</v>
      </c>
      <c r="E378" s="675">
        <v>30</v>
      </c>
      <c r="F378" s="675">
        <v>975</v>
      </c>
      <c r="G378" s="676">
        <v>193</v>
      </c>
      <c r="H378" s="676">
        <v>0</v>
      </c>
      <c r="I378" s="676">
        <v>0</v>
      </c>
      <c r="J378" s="676">
        <v>0</v>
      </c>
      <c r="K378" s="676">
        <v>0</v>
      </c>
      <c r="L378" s="676">
        <v>0</v>
      </c>
      <c r="M378" s="676">
        <v>0</v>
      </c>
      <c r="N378" s="666">
        <v>193</v>
      </c>
    </row>
    <row r="379" spans="1:14" ht="18.75">
      <c r="A379" s="680">
        <v>46117</v>
      </c>
      <c r="B379" s="42" t="s">
        <v>634</v>
      </c>
      <c r="C379" s="42">
        <v>105224</v>
      </c>
      <c r="D379" s="42" t="s">
        <v>865</v>
      </c>
      <c r="E379" s="675">
        <v>30</v>
      </c>
      <c r="F379" s="675">
        <v>1005</v>
      </c>
      <c r="G379" s="676">
        <v>1233.2</v>
      </c>
      <c r="H379" s="676">
        <v>0</v>
      </c>
      <c r="I379" s="676">
        <v>0</v>
      </c>
      <c r="J379" s="676">
        <v>0</v>
      </c>
      <c r="K379" s="676">
        <v>0</v>
      </c>
      <c r="L379" s="676">
        <v>0</v>
      </c>
      <c r="M379" s="676">
        <v>0</v>
      </c>
      <c r="N379" s="666">
        <v>1233.2</v>
      </c>
    </row>
    <row r="380" spans="1:14" ht="18.75">
      <c r="A380" s="680">
        <v>46011</v>
      </c>
      <c r="B380" s="42" t="s">
        <v>634</v>
      </c>
      <c r="C380" s="42">
        <v>104806</v>
      </c>
      <c r="D380" s="42" t="s">
        <v>831</v>
      </c>
      <c r="E380" s="675">
        <v>30</v>
      </c>
      <c r="F380" s="675">
        <v>1050</v>
      </c>
      <c r="G380" s="676">
        <v>156</v>
      </c>
      <c r="H380" s="676">
        <v>0</v>
      </c>
      <c r="I380" s="676">
        <v>0</v>
      </c>
      <c r="J380" s="676">
        <v>0</v>
      </c>
      <c r="K380" s="676">
        <v>0</v>
      </c>
      <c r="L380" s="676">
        <v>0</v>
      </c>
      <c r="M380" s="676">
        <v>0</v>
      </c>
      <c r="N380" s="666">
        <v>156</v>
      </c>
    </row>
    <row r="381" spans="1:14" ht="18.75">
      <c r="A381" s="680">
        <v>46086</v>
      </c>
      <c r="B381" s="42" t="s">
        <v>634</v>
      </c>
      <c r="C381" s="42">
        <v>100064</v>
      </c>
      <c r="D381" s="42" t="s">
        <v>797</v>
      </c>
      <c r="E381" s="675">
        <v>32.5</v>
      </c>
      <c r="F381" s="675">
        <v>705</v>
      </c>
      <c r="G381" s="676">
        <v>100</v>
      </c>
      <c r="H381" s="676">
        <v>0</v>
      </c>
      <c r="I381" s="676">
        <v>0</v>
      </c>
      <c r="J381" s="676">
        <v>450</v>
      </c>
      <c r="K381" s="676">
        <v>0</v>
      </c>
      <c r="L381" s="676">
        <v>0</v>
      </c>
      <c r="M381" s="676">
        <v>0</v>
      </c>
      <c r="N381" s="666">
        <v>100</v>
      </c>
    </row>
    <row r="382" spans="1:14" ht="18.75">
      <c r="A382" s="680">
        <v>46040</v>
      </c>
      <c r="B382" s="42" t="s">
        <v>634</v>
      </c>
      <c r="C382" s="42">
        <v>103791</v>
      </c>
      <c r="D382" s="42" t="s">
        <v>673</v>
      </c>
      <c r="E382" s="675">
        <v>32.5</v>
      </c>
      <c r="F382" s="675">
        <v>1115</v>
      </c>
      <c r="G382" s="676">
        <v>591.79999999999995</v>
      </c>
      <c r="H382" s="676">
        <v>0</v>
      </c>
      <c r="I382" s="676">
        <v>0</v>
      </c>
      <c r="J382" s="676">
        <v>0</v>
      </c>
      <c r="K382" s="676">
        <v>0</v>
      </c>
      <c r="L382" s="676">
        <v>0</v>
      </c>
      <c r="M382" s="676">
        <v>0</v>
      </c>
      <c r="N382" s="666">
        <v>591.79999999999995</v>
      </c>
    </row>
    <row r="383" spans="1:14" ht="18.75">
      <c r="A383" s="680">
        <v>46116</v>
      </c>
      <c r="B383" s="42" t="s">
        <v>634</v>
      </c>
      <c r="C383" s="42">
        <v>101708</v>
      </c>
      <c r="D383" s="42" t="s">
        <v>985</v>
      </c>
      <c r="E383" s="675">
        <v>35</v>
      </c>
      <c r="F383" s="675">
        <v>655</v>
      </c>
      <c r="G383" s="676">
        <v>71.400000000000006</v>
      </c>
      <c r="H383" s="676">
        <v>0</v>
      </c>
      <c r="I383" s="676">
        <v>0</v>
      </c>
      <c r="J383" s="676">
        <v>0</v>
      </c>
      <c r="K383" s="676">
        <v>0</v>
      </c>
      <c r="L383" s="676">
        <v>0</v>
      </c>
      <c r="M383" s="676">
        <v>0</v>
      </c>
      <c r="N383" s="666">
        <v>71.400000000000006</v>
      </c>
    </row>
    <row r="384" spans="1:14" ht="18.75">
      <c r="A384" s="680">
        <v>46115</v>
      </c>
      <c r="B384" s="42" t="s">
        <v>634</v>
      </c>
      <c r="C384" s="42">
        <v>104885</v>
      </c>
      <c r="D384" s="42" t="s">
        <v>891</v>
      </c>
      <c r="E384" s="675">
        <v>35</v>
      </c>
      <c r="F384" s="675">
        <v>1215</v>
      </c>
      <c r="G384" s="676">
        <v>406.2</v>
      </c>
      <c r="H384" s="676">
        <v>0</v>
      </c>
      <c r="I384" s="676">
        <v>0</v>
      </c>
      <c r="J384" s="676">
        <v>0</v>
      </c>
      <c r="K384" s="676">
        <v>0</v>
      </c>
      <c r="L384" s="676">
        <v>95</v>
      </c>
      <c r="M384" s="676">
        <v>0</v>
      </c>
      <c r="N384" s="666">
        <v>501.2</v>
      </c>
    </row>
    <row r="385" spans="1:14" ht="18.75">
      <c r="A385" s="680">
        <v>46136</v>
      </c>
      <c r="B385" s="42" t="s">
        <v>634</v>
      </c>
      <c r="C385" s="42">
        <v>104807</v>
      </c>
      <c r="D385" s="42" t="s">
        <v>838</v>
      </c>
      <c r="E385" s="675">
        <v>37.5</v>
      </c>
      <c r="F385" s="675">
        <v>990</v>
      </c>
      <c r="G385" s="676">
        <v>5819.4</v>
      </c>
      <c r="H385" s="676">
        <v>0</v>
      </c>
      <c r="I385" s="676">
        <v>0</v>
      </c>
      <c r="J385" s="676">
        <v>0</v>
      </c>
      <c r="K385" s="676">
        <v>0</v>
      </c>
      <c r="L385" s="676">
        <v>0</v>
      </c>
      <c r="M385" s="676">
        <v>0</v>
      </c>
      <c r="N385" s="666">
        <v>5819.4</v>
      </c>
    </row>
    <row r="386" spans="1:14" ht="18.75">
      <c r="A386" s="680">
        <v>46014</v>
      </c>
      <c r="B386" s="42" t="s">
        <v>634</v>
      </c>
      <c r="C386" s="42">
        <v>104850</v>
      </c>
      <c r="D386" s="42" t="s">
        <v>717</v>
      </c>
      <c r="E386" s="675">
        <v>37.5</v>
      </c>
      <c r="F386" s="675">
        <v>1065</v>
      </c>
      <c r="G386" s="676">
        <v>182</v>
      </c>
      <c r="H386" s="676">
        <v>0</v>
      </c>
      <c r="I386" s="676">
        <v>0</v>
      </c>
      <c r="J386" s="676">
        <v>0</v>
      </c>
      <c r="K386" s="676">
        <v>0</v>
      </c>
      <c r="L386" s="676">
        <v>0</v>
      </c>
      <c r="M386" s="676">
        <v>0</v>
      </c>
      <c r="N386" s="666">
        <v>182</v>
      </c>
    </row>
    <row r="387" spans="1:14" ht="18.75">
      <c r="A387" s="680">
        <v>46121</v>
      </c>
      <c r="B387" s="42" t="s">
        <v>634</v>
      </c>
      <c r="C387" s="42">
        <v>105233</v>
      </c>
      <c r="D387" s="42" t="s">
        <v>948</v>
      </c>
      <c r="E387" s="675">
        <v>40</v>
      </c>
      <c r="F387" s="675">
        <v>565</v>
      </c>
      <c r="G387" s="676">
        <v>258.39999999999998</v>
      </c>
      <c r="H387" s="676">
        <v>0</v>
      </c>
      <c r="I387" s="676">
        <v>0</v>
      </c>
      <c r="J387" s="676">
        <v>0</v>
      </c>
      <c r="K387" s="676">
        <v>0</v>
      </c>
      <c r="L387" s="676">
        <v>0</v>
      </c>
      <c r="M387" s="676">
        <v>0</v>
      </c>
      <c r="N387" s="666">
        <v>258.39999999999998</v>
      </c>
    </row>
    <row r="388" spans="1:14" ht="18.75">
      <c r="A388" s="680">
        <v>46121</v>
      </c>
      <c r="B388" s="42" t="s">
        <v>634</v>
      </c>
      <c r="C388" s="42">
        <v>105234</v>
      </c>
      <c r="D388" s="42" t="s">
        <v>910</v>
      </c>
      <c r="E388" s="675">
        <v>40</v>
      </c>
      <c r="F388" s="675">
        <v>565</v>
      </c>
      <c r="G388" s="676">
        <v>338.4</v>
      </c>
      <c r="H388" s="676">
        <v>0</v>
      </c>
      <c r="I388" s="676">
        <v>0</v>
      </c>
      <c r="J388" s="676">
        <v>0</v>
      </c>
      <c r="K388" s="676">
        <v>0</v>
      </c>
      <c r="L388" s="676">
        <v>0</v>
      </c>
      <c r="M388" s="676">
        <v>0</v>
      </c>
      <c r="N388" s="666">
        <v>338.4</v>
      </c>
    </row>
    <row r="389" spans="1:14" ht="18.75">
      <c r="A389" s="680">
        <v>46089</v>
      </c>
      <c r="B389" s="42" t="s">
        <v>634</v>
      </c>
      <c r="C389" s="42">
        <v>104938</v>
      </c>
      <c r="D389" s="42" t="s">
        <v>668</v>
      </c>
      <c r="E389" s="675">
        <v>40</v>
      </c>
      <c r="F389" s="675">
        <v>575</v>
      </c>
      <c r="G389" s="676">
        <v>153.6</v>
      </c>
      <c r="H389" s="676">
        <v>0</v>
      </c>
      <c r="I389" s="676">
        <v>0</v>
      </c>
      <c r="J389" s="676">
        <v>0</v>
      </c>
      <c r="K389" s="676">
        <v>0</v>
      </c>
      <c r="L389" s="676">
        <v>0</v>
      </c>
      <c r="M389" s="676">
        <v>0</v>
      </c>
      <c r="N389" s="666">
        <v>153.6</v>
      </c>
    </row>
    <row r="390" spans="1:14" ht="18.75">
      <c r="A390" s="680">
        <v>46103</v>
      </c>
      <c r="B390" s="42" t="s">
        <v>634</v>
      </c>
      <c r="C390" s="42">
        <v>100641</v>
      </c>
      <c r="D390" s="42" t="s">
        <v>637</v>
      </c>
      <c r="E390" s="675">
        <v>40</v>
      </c>
      <c r="F390" s="675">
        <v>615</v>
      </c>
      <c r="G390" s="676">
        <v>224.6</v>
      </c>
      <c r="H390" s="676">
        <v>0</v>
      </c>
      <c r="I390" s="676">
        <v>0</v>
      </c>
      <c r="J390" s="676">
        <v>0</v>
      </c>
      <c r="K390" s="676">
        <v>0</v>
      </c>
      <c r="L390" s="676">
        <v>0</v>
      </c>
      <c r="M390" s="676">
        <v>0</v>
      </c>
      <c r="N390" s="666">
        <v>224.6</v>
      </c>
    </row>
    <row r="391" spans="1:14" ht="18.75">
      <c r="A391" s="680">
        <v>45964</v>
      </c>
      <c r="B391" s="42" t="s">
        <v>634</v>
      </c>
      <c r="C391" s="42">
        <v>100889</v>
      </c>
      <c r="D391" s="42" t="s">
        <v>694</v>
      </c>
      <c r="E391" s="675">
        <v>40</v>
      </c>
      <c r="F391" s="675">
        <v>655</v>
      </c>
      <c r="G391" s="676">
        <v>84.2</v>
      </c>
      <c r="H391" s="676">
        <v>0</v>
      </c>
      <c r="I391" s="676">
        <v>0</v>
      </c>
      <c r="J391" s="676">
        <v>0</v>
      </c>
      <c r="K391" s="676">
        <v>0</v>
      </c>
      <c r="L391" s="676">
        <v>0</v>
      </c>
      <c r="M391" s="676">
        <v>0</v>
      </c>
      <c r="N391" s="666">
        <v>84.2</v>
      </c>
    </row>
    <row r="392" spans="1:14" ht="18.75">
      <c r="A392" s="680">
        <v>46112</v>
      </c>
      <c r="B392" s="42" t="s">
        <v>634</v>
      </c>
      <c r="C392" s="42">
        <v>100921</v>
      </c>
      <c r="D392" s="42" t="s">
        <v>886</v>
      </c>
      <c r="E392" s="675">
        <v>40</v>
      </c>
      <c r="F392" s="675">
        <v>655</v>
      </c>
      <c r="G392" s="676">
        <v>125</v>
      </c>
      <c r="H392" s="676">
        <v>0</v>
      </c>
      <c r="I392" s="676">
        <v>0</v>
      </c>
      <c r="J392" s="676">
        <v>0</v>
      </c>
      <c r="K392" s="676">
        <v>0</v>
      </c>
      <c r="L392" s="676">
        <v>0</v>
      </c>
      <c r="M392" s="676">
        <v>0</v>
      </c>
      <c r="N392" s="666">
        <v>125</v>
      </c>
    </row>
    <row r="393" spans="1:14" ht="18.75">
      <c r="A393" s="680">
        <v>46116</v>
      </c>
      <c r="B393" s="42" t="s">
        <v>634</v>
      </c>
      <c r="C393" s="42">
        <v>102416</v>
      </c>
      <c r="D393" s="42" t="s">
        <v>897</v>
      </c>
      <c r="E393" s="675">
        <v>40</v>
      </c>
      <c r="F393" s="675">
        <v>655</v>
      </c>
      <c r="G393" s="676">
        <v>817.6</v>
      </c>
      <c r="H393" s="676">
        <v>0</v>
      </c>
      <c r="I393" s="676">
        <v>0</v>
      </c>
      <c r="J393" s="676">
        <v>0</v>
      </c>
      <c r="K393" s="676">
        <v>0</v>
      </c>
      <c r="L393" s="676">
        <v>0</v>
      </c>
      <c r="M393" s="676">
        <v>0</v>
      </c>
      <c r="N393" s="666">
        <v>817.6</v>
      </c>
    </row>
    <row r="394" spans="1:14" ht="18.75">
      <c r="A394" s="680">
        <v>46117</v>
      </c>
      <c r="B394" s="42" t="s">
        <v>634</v>
      </c>
      <c r="C394" s="42">
        <v>100539</v>
      </c>
      <c r="D394" s="42" t="s">
        <v>879</v>
      </c>
      <c r="E394" s="675">
        <v>40</v>
      </c>
      <c r="F394" s="675">
        <v>675</v>
      </c>
      <c r="G394" s="676">
        <v>961.4</v>
      </c>
      <c r="H394" s="676">
        <v>0</v>
      </c>
      <c r="I394" s="676">
        <v>0</v>
      </c>
      <c r="J394" s="676">
        <v>0</v>
      </c>
      <c r="K394" s="676">
        <v>0</v>
      </c>
      <c r="L394" s="676">
        <v>0</v>
      </c>
      <c r="M394" s="676">
        <v>0</v>
      </c>
      <c r="N394" s="666">
        <v>961.4</v>
      </c>
    </row>
    <row r="395" spans="1:14" ht="18.75">
      <c r="A395" s="680">
        <v>46112</v>
      </c>
      <c r="B395" s="42" t="s">
        <v>634</v>
      </c>
      <c r="C395" s="42">
        <v>103885</v>
      </c>
      <c r="D395" s="42" t="s">
        <v>870</v>
      </c>
      <c r="E395" s="675">
        <v>40</v>
      </c>
      <c r="F395" s="675">
        <v>775</v>
      </c>
      <c r="G395" s="676">
        <v>449.5</v>
      </c>
      <c r="H395" s="676">
        <v>0</v>
      </c>
      <c r="I395" s="676">
        <v>0</v>
      </c>
      <c r="J395" s="676">
        <v>0</v>
      </c>
      <c r="K395" s="676">
        <v>0</v>
      </c>
      <c r="L395" s="676">
        <v>0</v>
      </c>
      <c r="M395" s="676">
        <v>0</v>
      </c>
      <c r="N395" s="666">
        <v>449.5</v>
      </c>
    </row>
    <row r="396" spans="1:14" ht="18.75">
      <c r="A396" s="680">
        <v>46073</v>
      </c>
      <c r="B396" s="42" t="s">
        <v>634</v>
      </c>
      <c r="C396" s="42">
        <v>104873</v>
      </c>
      <c r="D396" s="42" t="s">
        <v>829</v>
      </c>
      <c r="E396" s="675">
        <v>40</v>
      </c>
      <c r="F396" s="675">
        <v>775</v>
      </c>
      <c r="G396" s="676">
        <v>93.5</v>
      </c>
      <c r="H396" s="676">
        <v>0</v>
      </c>
      <c r="I396" s="676">
        <v>0</v>
      </c>
      <c r="J396" s="676">
        <v>0</v>
      </c>
      <c r="K396" s="676">
        <v>0</v>
      </c>
      <c r="L396" s="676">
        <v>0</v>
      </c>
      <c r="M396" s="676">
        <v>0</v>
      </c>
      <c r="N396" s="666">
        <v>93.5</v>
      </c>
    </row>
    <row r="397" spans="1:14" ht="18.75">
      <c r="A397" s="680">
        <v>46129</v>
      </c>
      <c r="B397" s="42" t="s">
        <v>634</v>
      </c>
      <c r="C397" s="42">
        <v>100374</v>
      </c>
      <c r="D397" s="42" t="s">
        <v>785</v>
      </c>
      <c r="E397" s="675">
        <v>40</v>
      </c>
      <c r="F397" s="675">
        <v>795</v>
      </c>
      <c r="G397" s="676">
        <v>1215</v>
      </c>
      <c r="H397" s="676">
        <v>0</v>
      </c>
      <c r="I397" s="676">
        <v>0</v>
      </c>
      <c r="J397" s="676">
        <v>500</v>
      </c>
      <c r="K397" s="676">
        <v>500</v>
      </c>
      <c r="L397" s="676">
        <v>0</v>
      </c>
      <c r="M397" s="676">
        <v>0</v>
      </c>
      <c r="N397" s="666">
        <v>1215</v>
      </c>
    </row>
    <row r="398" spans="1:14" ht="18.75">
      <c r="A398" s="680">
        <v>46073</v>
      </c>
      <c r="B398" s="42" t="s">
        <v>634</v>
      </c>
      <c r="C398" s="42">
        <v>101706</v>
      </c>
      <c r="D398" s="42" t="s">
        <v>769</v>
      </c>
      <c r="E398" s="675">
        <v>40</v>
      </c>
      <c r="F398" s="675">
        <v>795</v>
      </c>
      <c r="G398" s="676">
        <v>53</v>
      </c>
      <c r="H398" s="676">
        <v>0</v>
      </c>
      <c r="I398" s="676">
        <v>0</v>
      </c>
      <c r="J398" s="676">
        <v>0</v>
      </c>
      <c r="K398" s="676">
        <v>0</v>
      </c>
      <c r="L398" s="676">
        <v>0</v>
      </c>
      <c r="M398" s="676">
        <v>0</v>
      </c>
      <c r="N398" s="666">
        <v>53</v>
      </c>
    </row>
    <row r="399" spans="1:14" ht="18.75">
      <c r="A399" s="680">
        <v>46134</v>
      </c>
      <c r="B399" s="42" t="s">
        <v>634</v>
      </c>
      <c r="C399" s="42">
        <v>103021</v>
      </c>
      <c r="D399" s="42" t="s">
        <v>824</v>
      </c>
      <c r="E399" s="675">
        <v>40</v>
      </c>
      <c r="F399" s="675">
        <v>865</v>
      </c>
      <c r="G399" s="676">
        <v>207</v>
      </c>
      <c r="H399" s="676">
        <v>0</v>
      </c>
      <c r="I399" s="676">
        <v>0</v>
      </c>
      <c r="J399" s="676">
        <v>0</v>
      </c>
      <c r="K399" s="676">
        <v>0</v>
      </c>
      <c r="L399" s="676">
        <v>0</v>
      </c>
      <c r="M399" s="676">
        <v>0</v>
      </c>
      <c r="N399" s="666">
        <v>207</v>
      </c>
    </row>
    <row r="400" spans="1:14" ht="18.75">
      <c r="A400" s="680">
        <v>46002</v>
      </c>
      <c r="B400" s="42" t="s">
        <v>634</v>
      </c>
      <c r="C400" s="42">
        <v>105090</v>
      </c>
      <c r="D400" s="42" t="s">
        <v>839</v>
      </c>
      <c r="E400" s="675">
        <v>40</v>
      </c>
      <c r="F400" s="675">
        <v>895</v>
      </c>
      <c r="G400" s="676">
        <v>147.30000000000001</v>
      </c>
      <c r="H400" s="676">
        <v>0</v>
      </c>
      <c r="I400" s="676">
        <v>0</v>
      </c>
      <c r="J400" s="676">
        <v>0</v>
      </c>
      <c r="K400" s="676">
        <v>0</v>
      </c>
      <c r="L400" s="676">
        <v>0</v>
      </c>
      <c r="M400" s="676">
        <v>0</v>
      </c>
      <c r="N400" s="666">
        <v>147.30000000000001</v>
      </c>
    </row>
    <row r="401" spans="1:14" ht="18.75">
      <c r="A401" s="680">
        <v>46122</v>
      </c>
      <c r="B401" s="42" t="s">
        <v>634</v>
      </c>
      <c r="C401" s="42">
        <v>100069</v>
      </c>
      <c r="D401" s="42" t="s">
        <v>931</v>
      </c>
      <c r="E401" s="675">
        <v>40</v>
      </c>
      <c r="F401" s="675">
        <v>915</v>
      </c>
      <c r="G401" s="676">
        <v>90</v>
      </c>
      <c r="H401" s="676">
        <v>0</v>
      </c>
      <c r="I401" s="676">
        <v>0</v>
      </c>
      <c r="J401" s="676">
        <v>0</v>
      </c>
      <c r="K401" s="676">
        <v>0</v>
      </c>
      <c r="L401" s="676">
        <v>0</v>
      </c>
      <c r="M401" s="676">
        <v>0</v>
      </c>
      <c r="N401" s="666">
        <v>90</v>
      </c>
    </row>
    <row r="402" spans="1:14" ht="18.75">
      <c r="A402" s="680">
        <v>46134</v>
      </c>
      <c r="B402" s="42" t="s">
        <v>634</v>
      </c>
      <c r="C402" s="42">
        <v>104603</v>
      </c>
      <c r="D402" s="42" t="s">
        <v>962</v>
      </c>
      <c r="E402" s="675">
        <v>40</v>
      </c>
      <c r="F402" s="675">
        <v>915</v>
      </c>
      <c r="G402" s="676">
        <v>174</v>
      </c>
      <c r="H402" s="676">
        <v>0</v>
      </c>
      <c r="I402" s="676">
        <v>0</v>
      </c>
      <c r="J402" s="676">
        <v>0</v>
      </c>
      <c r="K402" s="676">
        <v>0</v>
      </c>
      <c r="L402" s="676">
        <v>0</v>
      </c>
      <c r="M402" s="676">
        <v>0</v>
      </c>
      <c r="N402" s="666">
        <v>174</v>
      </c>
    </row>
    <row r="403" spans="1:14" ht="18.75">
      <c r="A403" s="680">
        <v>46134</v>
      </c>
      <c r="B403" s="42" t="s">
        <v>634</v>
      </c>
      <c r="C403" s="42">
        <v>104420</v>
      </c>
      <c r="D403" s="42" t="s">
        <v>956</v>
      </c>
      <c r="E403" s="675">
        <v>40</v>
      </c>
      <c r="F403" s="675">
        <v>955</v>
      </c>
      <c r="G403" s="676">
        <v>281</v>
      </c>
      <c r="H403" s="676">
        <v>0</v>
      </c>
      <c r="I403" s="676">
        <v>0</v>
      </c>
      <c r="J403" s="676">
        <v>0</v>
      </c>
      <c r="K403" s="676">
        <v>0</v>
      </c>
      <c r="L403" s="676">
        <v>0</v>
      </c>
      <c r="M403" s="676">
        <v>0</v>
      </c>
      <c r="N403" s="666">
        <v>281</v>
      </c>
    </row>
    <row r="404" spans="1:14" ht="18.75">
      <c r="A404" s="680">
        <v>46113</v>
      </c>
      <c r="B404" s="42" t="s">
        <v>634</v>
      </c>
      <c r="C404" s="42">
        <v>100066</v>
      </c>
      <c r="D404" s="42" t="s">
        <v>905</v>
      </c>
      <c r="E404" s="675">
        <v>40</v>
      </c>
      <c r="F404" s="675">
        <v>975</v>
      </c>
      <c r="G404" s="676">
        <v>257.8</v>
      </c>
      <c r="H404" s="676">
        <v>0</v>
      </c>
      <c r="I404" s="676">
        <v>0</v>
      </c>
      <c r="J404" s="676">
        <v>0</v>
      </c>
      <c r="K404" s="676">
        <v>0</v>
      </c>
      <c r="L404" s="676">
        <v>0</v>
      </c>
      <c r="M404" s="676">
        <v>0</v>
      </c>
      <c r="N404" s="666">
        <v>257.8</v>
      </c>
    </row>
    <row r="405" spans="1:14" ht="18.75">
      <c r="A405" s="680">
        <v>46122</v>
      </c>
      <c r="B405" s="42" t="s">
        <v>634</v>
      </c>
      <c r="C405" s="42">
        <v>100070</v>
      </c>
      <c r="D405" s="42" t="s">
        <v>914</v>
      </c>
      <c r="E405" s="675">
        <v>40</v>
      </c>
      <c r="F405" s="675">
        <v>975</v>
      </c>
      <c r="G405" s="676">
        <v>2647.5</v>
      </c>
      <c r="H405" s="676">
        <v>0</v>
      </c>
      <c r="I405" s="676">
        <v>0</v>
      </c>
      <c r="J405" s="676">
        <v>0</v>
      </c>
      <c r="K405" s="676">
        <v>0</v>
      </c>
      <c r="L405" s="676">
        <v>0</v>
      </c>
      <c r="M405" s="676">
        <v>0</v>
      </c>
      <c r="N405" s="666">
        <v>2647.5</v>
      </c>
    </row>
    <row r="406" spans="1:14" ht="18.75">
      <c r="A406" s="680">
        <v>46122</v>
      </c>
      <c r="B406" s="42" t="s">
        <v>634</v>
      </c>
      <c r="C406" s="42">
        <v>104880</v>
      </c>
      <c r="D406" s="42" t="s">
        <v>894</v>
      </c>
      <c r="E406" s="675">
        <v>40</v>
      </c>
      <c r="F406" s="675">
        <v>1020</v>
      </c>
      <c r="G406" s="676">
        <v>1112.4000000000001</v>
      </c>
      <c r="H406" s="676">
        <v>0</v>
      </c>
      <c r="I406" s="676">
        <v>0</v>
      </c>
      <c r="J406" s="676">
        <v>0</v>
      </c>
      <c r="K406" s="676">
        <v>0</v>
      </c>
      <c r="L406" s="676">
        <v>0</v>
      </c>
      <c r="M406" s="676">
        <v>0</v>
      </c>
      <c r="N406" s="666">
        <v>1112.4000000000001</v>
      </c>
    </row>
    <row r="407" spans="1:14" ht="18.75">
      <c r="A407" s="680">
        <v>46107</v>
      </c>
      <c r="B407" s="42" t="s">
        <v>634</v>
      </c>
      <c r="C407" s="42">
        <v>104830</v>
      </c>
      <c r="D407" s="42" t="s">
        <v>855</v>
      </c>
      <c r="E407" s="675">
        <v>40</v>
      </c>
      <c r="F407" s="675">
        <v>1115</v>
      </c>
      <c r="G407" s="676">
        <v>740.8</v>
      </c>
      <c r="H407" s="676">
        <v>0</v>
      </c>
      <c r="I407" s="676">
        <v>0</v>
      </c>
      <c r="J407" s="676">
        <v>0</v>
      </c>
      <c r="K407" s="676">
        <v>0</v>
      </c>
      <c r="L407" s="676">
        <v>0</v>
      </c>
      <c r="M407" s="676">
        <v>0</v>
      </c>
      <c r="N407" s="666">
        <v>740.8</v>
      </c>
    </row>
    <row r="408" spans="1:14" ht="18.75">
      <c r="A408" s="680">
        <v>46121</v>
      </c>
      <c r="B408" s="42" t="s">
        <v>634</v>
      </c>
      <c r="C408" s="42">
        <v>102085</v>
      </c>
      <c r="D408" s="42" t="s">
        <v>789</v>
      </c>
      <c r="E408" s="675">
        <v>40</v>
      </c>
      <c r="F408" s="675">
        <v>1175</v>
      </c>
      <c r="G408" s="676">
        <v>274.60000000000002</v>
      </c>
      <c r="H408" s="676">
        <v>0</v>
      </c>
      <c r="I408" s="676">
        <v>0</v>
      </c>
      <c r="J408" s="676">
        <v>30</v>
      </c>
      <c r="K408" s="676">
        <v>0</v>
      </c>
      <c r="L408" s="676">
        <v>30.2</v>
      </c>
      <c r="M408" s="676">
        <v>0</v>
      </c>
      <c r="N408" s="666">
        <v>304.8</v>
      </c>
    </row>
    <row r="409" spans="1:14" ht="18.75">
      <c r="A409" s="680">
        <v>46113</v>
      </c>
      <c r="B409" s="42" t="s">
        <v>634</v>
      </c>
      <c r="C409" s="42">
        <v>104847</v>
      </c>
      <c r="D409" s="42" t="s">
        <v>906</v>
      </c>
      <c r="E409" s="675">
        <v>40</v>
      </c>
      <c r="F409" s="675">
        <v>1215</v>
      </c>
      <c r="G409" s="676">
        <v>109.2</v>
      </c>
      <c r="H409" s="676">
        <v>0</v>
      </c>
      <c r="I409" s="676">
        <v>0</v>
      </c>
      <c r="J409" s="676">
        <v>0</v>
      </c>
      <c r="K409" s="676">
        <v>0</v>
      </c>
      <c r="L409" s="676">
        <v>0</v>
      </c>
      <c r="M409" s="676">
        <v>0</v>
      </c>
      <c r="N409" s="666">
        <v>109.2</v>
      </c>
    </row>
    <row r="410" spans="1:14" ht="18.75">
      <c r="A410" s="680">
        <v>46103</v>
      </c>
      <c r="B410" s="42" t="s">
        <v>634</v>
      </c>
      <c r="C410" s="42">
        <v>101977</v>
      </c>
      <c r="D410" s="42" t="s">
        <v>975</v>
      </c>
      <c r="E410" s="675">
        <v>45</v>
      </c>
      <c r="F410" s="675">
        <v>460</v>
      </c>
      <c r="G410" s="676">
        <v>101.4</v>
      </c>
      <c r="H410" s="676">
        <v>0</v>
      </c>
      <c r="I410" s="676">
        <v>0</v>
      </c>
      <c r="J410" s="676">
        <v>0</v>
      </c>
      <c r="K410" s="676">
        <v>0</v>
      </c>
      <c r="L410" s="676">
        <v>0</v>
      </c>
      <c r="M410" s="676">
        <v>0</v>
      </c>
      <c r="N410" s="666">
        <v>101.4</v>
      </c>
    </row>
    <row r="411" spans="1:14" ht="18.75">
      <c r="A411" s="680">
        <v>46116</v>
      </c>
      <c r="B411" s="42" t="s">
        <v>634</v>
      </c>
      <c r="C411" s="42">
        <v>103334</v>
      </c>
      <c r="D411" s="42" t="s">
        <v>830</v>
      </c>
      <c r="E411" s="675">
        <v>45</v>
      </c>
      <c r="F411" s="675">
        <v>655</v>
      </c>
      <c r="G411" s="676">
        <v>319.10000000000002</v>
      </c>
      <c r="H411" s="676">
        <v>0</v>
      </c>
      <c r="I411" s="676">
        <v>0</v>
      </c>
      <c r="J411" s="676">
        <v>0</v>
      </c>
      <c r="K411" s="676">
        <v>0</v>
      </c>
      <c r="L411" s="676">
        <v>0</v>
      </c>
      <c r="M411" s="676">
        <v>0</v>
      </c>
      <c r="N411" s="666">
        <v>319.10000000000002</v>
      </c>
    </row>
    <row r="412" spans="1:14" ht="18.75">
      <c r="A412" s="680">
        <v>46107</v>
      </c>
      <c r="B412" s="42" t="s">
        <v>634</v>
      </c>
      <c r="C412" s="42">
        <v>100074</v>
      </c>
      <c r="D412" s="42" t="s">
        <v>636</v>
      </c>
      <c r="E412" s="675">
        <v>45</v>
      </c>
      <c r="F412" s="675">
        <v>900</v>
      </c>
      <c r="G412" s="676">
        <v>548.20000000000005</v>
      </c>
      <c r="H412" s="676">
        <v>150</v>
      </c>
      <c r="I412" s="676">
        <v>0</v>
      </c>
      <c r="J412" s="676">
        <v>0</v>
      </c>
      <c r="K412" s="676">
        <v>0</v>
      </c>
      <c r="L412" s="676">
        <v>0</v>
      </c>
      <c r="M412" s="676">
        <v>0</v>
      </c>
      <c r="N412" s="666">
        <v>698.2</v>
      </c>
    </row>
    <row r="413" spans="1:14" ht="18.75">
      <c r="A413" s="680">
        <v>46116</v>
      </c>
      <c r="B413" s="42" t="s">
        <v>634</v>
      </c>
      <c r="C413" s="42">
        <v>100247</v>
      </c>
      <c r="D413" s="42" t="s">
        <v>898</v>
      </c>
      <c r="E413" s="675">
        <v>45</v>
      </c>
      <c r="F413" s="675">
        <v>975</v>
      </c>
      <c r="G413" s="676">
        <v>100</v>
      </c>
      <c r="H413" s="676">
        <v>0</v>
      </c>
      <c r="I413" s="676">
        <v>0</v>
      </c>
      <c r="J413" s="676">
        <v>0</v>
      </c>
      <c r="K413" s="676">
        <v>0</v>
      </c>
      <c r="L413" s="676">
        <v>0</v>
      </c>
      <c r="M413" s="676">
        <v>0</v>
      </c>
      <c r="N413" s="666">
        <v>100</v>
      </c>
    </row>
    <row r="414" spans="1:14" ht="18.75">
      <c r="A414" s="680">
        <v>46107</v>
      </c>
      <c r="B414" s="42" t="s">
        <v>634</v>
      </c>
      <c r="C414" s="42">
        <v>102069</v>
      </c>
      <c r="D414" s="42" t="s">
        <v>950</v>
      </c>
      <c r="E414" s="675">
        <v>45</v>
      </c>
      <c r="F414" s="675">
        <v>1035</v>
      </c>
      <c r="G414" s="676">
        <v>150</v>
      </c>
      <c r="H414" s="676">
        <v>0</v>
      </c>
      <c r="I414" s="676">
        <v>0</v>
      </c>
      <c r="J414" s="676">
        <v>0</v>
      </c>
      <c r="K414" s="676">
        <v>0</v>
      </c>
      <c r="L414" s="676">
        <v>0</v>
      </c>
      <c r="M414" s="676">
        <v>0</v>
      </c>
      <c r="N414" s="666">
        <v>150</v>
      </c>
    </row>
    <row r="415" spans="1:14" ht="18.75">
      <c r="A415" s="680">
        <v>46103</v>
      </c>
      <c r="B415" s="42" t="s">
        <v>634</v>
      </c>
      <c r="C415" s="42">
        <v>105162</v>
      </c>
      <c r="D415" s="42" t="s">
        <v>915</v>
      </c>
      <c r="E415" s="675">
        <v>50</v>
      </c>
      <c r="F415" s="675">
        <v>655</v>
      </c>
      <c r="G415" s="676">
        <v>58</v>
      </c>
      <c r="H415" s="676">
        <v>0</v>
      </c>
      <c r="I415" s="676">
        <v>0</v>
      </c>
      <c r="J415" s="676">
        <v>2250</v>
      </c>
      <c r="K415" s="676">
        <v>0</v>
      </c>
      <c r="L415" s="676">
        <v>0</v>
      </c>
      <c r="M415" s="676">
        <v>0</v>
      </c>
      <c r="N415" s="666">
        <v>58</v>
      </c>
    </row>
    <row r="416" spans="1:14" ht="18.75">
      <c r="A416" s="680">
        <v>46118</v>
      </c>
      <c r="B416" s="42" t="s">
        <v>634</v>
      </c>
      <c r="C416" s="42">
        <v>104988</v>
      </c>
      <c r="D416" s="42" t="s">
        <v>918</v>
      </c>
      <c r="E416" s="675">
        <v>50</v>
      </c>
      <c r="F416" s="675">
        <v>1165</v>
      </c>
      <c r="G416" s="676">
        <v>326</v>
      </c>
      <c r="H416" s="676">
        <v>0</v>
      </c>
      <c r="I416" s="676">
        <v>0</v>
      </c>
      <c r="J416" s="676">
        <v>106</v>
      </c>
      <c r="K416" s="676">
        <v>0</v>
      </c>
      <c r="L416" s="676">
        <v>106</v>
      </c>
      <c r="M416" s="676">
        <v>0</v>
      </c>
      <c r="N416" s="666">
        <v>432</v>
      </c>
    </row>
    <row r="417" spans="1:14" ht="18.75">
      <c r="A417" s="680">
        <v>46142</v>
      </c>
      <c r="B417" s="42" t="s">
        <v>634</v>
      </c>
      <c r="C417" s="42">
        <v>104645</v>
      </c>
      <c r="D417" s="42" t="s">
        <v>892</v>
      </c>
      <c r="E417" s="675">
        <v>53</v>
      </c>
      <c r="F417" s="675">
        <v>625</v>
      </c>
      <c r="G417" s="676">
        <v>796.8</v>
      </c>
      <c r="H417" s="676">
        <v>0</v>
      </c>
      <c r="I417" s="676">
        <v>0</v>
      </c>
      <c r="J417" s="676">
        <v>0</v>
      </c>
      <c r="K417" s="676">
        <v>0</v>
      </c>
      <c r="L417" s="676">
        <v>0</v>
      </c>
      <c r="M417" s="676">
        <v>709.6</v>
      </c>
      <c r="N417" s="666">
        <v>1506.4</v>
      </c>
    </row>
    <row r="418" spans="1:14" ht="18.75">
      <c r="A418" s="680">
        <v>46113</v>
      </c>
      <c r="B418" s="42" t="s">
        <v>634</v>
      </c>
      <c r="C418" s="42">
        <v>102904</v>
      </c>
      <c r="D418" s="42" t="s">
        <v>899</v>
      </c>
      <c r="E418" s="675">
        <v>53</v>
      </c>
      <c r="F418" s="675">
        <v>830</v>
      </c>
      <c r="G418" s="676">
        <v>177.6</v>
      </c>
      <c r="H418" s="676">
        <v>0</v>
      </c>
      <c r="I418" s="676">
        <v>0</v>
      </c>
      <c r="J418" s="676">
        <v>0</v>
      </c>
      <c r="K418" s="676">
        <v>0</v>
      </c>
      <c r="L418" s="676">
        <v>0</v>
      </c>
      <c r="M418" s="676">
        <v>0</v>
      </c>
      <c r="N418" s="666">
        <v>177.6</v>
      </c>
    </row>
    <row r="419" spans="1:14" ht="18.75">
      <c r="A419" s="680">
        <v>46142</v>
      </c>
      <c r="B419" s="42" t="s">
        <v>634</v>
      </c>
      <c r="C419" s="42">
        <v>101762</v>
      </c>
      <c r="D419" s="42" t="s">
        <v>986</v>
      </c>
      <c r="E419" s="675">
        <v>53</v>
      </c>
      <c r="F419" s="675">
        <v>970</v>
      </c>
      <c r="G419" s="676">
        <v>829.2</v>
      </c>
      <c r="H419" s="676">
        <v>0</v>
      </c>
      <c r="I419" s="676">
        <v>0</v>
      </c>
      <c r="J419" s="676">
        <v>0</v>
      </c>
      <c r="K419" s="676">
        <v>0</v>
      </c>
      <c r="L419" s="676">
        <v>0</v>
      </c>
      <c r="M419" s="676">
        <v>2677.4</v>
      </c>
      <c r="N419" s="666">
        <v>3506.6</v>
      </c>
    </row>
    <row r="420" spans="1:14" ht="18.75">
      <c r="A420" s="680">
        <v>46118</v>
      </c>
      <c r="B420" s="42" t="s">
        <v>634</v>
      </c>
      <c r="C420" s="42">
        <v>100080</v>
      </c>
      <c r="D420" s="42" t="s">
        <v>907</v>
      </c>
      <c r="E420" s="675">
        <v>55</v>
      </c>
      <c r="F420" s="675">
        <v>655</v>
      </c>
      <c r="G420" s="676">
        <v>91.6</v>
      </c>
      <c r="H420" s="676">
        <v>0</v>
      </c>
      <c r="I420" s="676">
        <v>0</v>
      </c>
      <c r="J420" s="676">
        <v>800</v>
      </c>
      <c r="K420" s="676">
        <v>400</v>
      </c>
      <c r="L420" s="676">
        <v>0</v>
      </c>
      <c r="M420" s="676">
        <v>0</v>
      </c>
      <c r="N420" s="666">
        <v>91.6</v>
      </c>
    </row>
    <row r="421" spans="1:14" ht="18.75">
      <c r="A421" s="680">
        <v>46050</v>
      </c>
      <c r="B421" s="42" t="s">
        <v>634</v>
      </c>
      <c r="C421" s="42">
        <v>104256</v>
      </c>
      <c r="D421" s="42" t="s">
        <v>739</v>
      </c>
      <c r="E421" s="675">
        <v>55</v>
      </c>
      <c r="F421" s="675">
        <v>675</v>
      </c>
      <c r="G421" s="676">
        <v>85.8</v>
      </c>
      <c r="H421" s="676">
        <v>0</v>
      </c>
      <c r="I421" s="676">
        <v>0</v>
      </c>
      <c r="J421" s="676">
        <v>0</v>
      </c>
      <c r="K421" s="676">
        <v>0</v>
      </c>
      <c r="L421" s="676">
        <v>0</v>
      </c>
      <c r="M421" s="676">
        <v>0</v>
      </c>
      <c r="N421" s="666">
        <v>85.8</v>
      </c>
    </row>
    <row r="422" spans="1:14" ht="18.75">
      <c r="A422" s="680">
        <v>46117</v>
      </c>
      <c r="B422" s="42" t="s">
        <v>634</v>
      </c>
      <c r="C422" s="42">
        <v>104477</v>
      </c>
      <c r="D422" s="42" t="s">
        <v>880</v>
      </c>
      <c r="E422" s="675">
        <v>55</v>
      </c>
      <c r="F422" s="675">
        <v>675</v>
      </c>
      <c r="G422" s="676">
        <v>1019.3</v>
      </c>
      <c r="H422" s="676">
        <v>0</v>
      </c>
      <c r="I422" s="676">
        <v>0</v>
      </c>
      <c r="J422" s="676">
        <v>0</v>
      </c>
      <c r="K422" s="676">
        <v>0</v>
      </c>
      <c r="L422" s="676">
        <v>0</v>
      </c>
      <c r="M422" s="676">
        <v>0</v>
      </c>
      <c r="N422" s="666">
        <v>1019.3</v>
      </c>
    </row>
    <row r="423" spans="1:14" ht="18.75">
      <c r="A423" s="680">
        <v>45995</v>
      </c>
      <c r="B423" s="42" t="s">
        <v>634</v>
      </c>
      <c r="C423" s="42">
        <v>105092</v>
      </c>
      <c r="D423" s="42" t="s">
        <v>744</v>
      </c>
      <c r="E423" s="675">
        <v>55</v>
      </c>
      <c r="F423" s="675">
        <v>745</v>
      </c>
      <c r="G423" s="676">
        <v>101</v>
      </c>
      <c r="H423" s="676">
        <v>0</v>
      </c>
      <c r="I423" s="676">
        <v>0</v>
      </c>
      <c r="J423" s="676">
        <v>0</v>
      </c>
      <c r="K423" s="676">
        <v>0</v>
      </c>
      <c r="L423" s="676">
        <v>0</v>
      </c>
      <c r="M423" s="676">
        <v>0</v>
      </c>
      <c r="N423" s="666">
        <v>101</v>
      </c>
    </row>
    <row r="424" spans="1:14" ht="18.75">
      <c r="A424" s="680">
        <v>46084</v>
      </c>
      <c r="B424" s="42" t="s">
        <v>634</v>
      </c>
      <c r="C424" s="42">
        <v>100310</v>
      </c>
      <c r="D424" s="42" t="s">
        <v>825</v>
      </c>
      <c r="E424" s="675">
        <v>55</v>
      </c>
      <c r="F424" s="675">
        <v>775</v>
      </c>
      <c r="G424" s="676">
        <v>532.6</v>
      </c>
      <c r="H424" s="676">
        <v>0</v>
      </c>
      <c r="I424" s="676">
        <v>0</v>
      </c>
      <c r="J424" s="676">
        <v>0</v>
      </c>
      <c r="K424" s="676">
        <v>0</v>
      </c>
      <c r="L424" s="676">
        <v>0</v>
      </c>
      <c r="M424" s="676">
        <v>0</v>
      </c>
      <c r="N424" s="666">
        <v>532.6</v>
      </c>
    </row>
    <row r="425" spans="1:14" ht="18.75">
      <c r="A425" s="680">
        <v>46115</v>
      </c>
      <c r="B425" s="42" t="s">
        <v>634</v>
      </c>
      <c r="C425" s="42">
        <v>103694</v>
      </c>
      <c r="D425" s="42" t="s">
        <v>786</v>
      </c>
      <c r="E425" s="675">
        <v>55</v>
      </c>
      <c r="F425" s="675">
        <v>778</v>
      </c>
      <c r="G425" s="676">
        <v>674.4</v>
      </c>
      <c r="H425" s="676">
        <v>0</v>
      </c>
      <c r="I425" s="676">
        <v>0</v>
      </c>
      <c r="J425" s="676">
        <v>4000</v>
      </c>
      <c r="K425" s="676">
        <v>4000</v>
      </c>
      <c r="L425" s="676">
        <v>0</v>
      </c>
      <c r="M425" s="676">
        <v>0</v>
      </c>
      <c r="N425" s="666">
        <v>674.4</v>
      </c>
    </row>
    <row r="426" spans="1:14" ht="18.75">
      <c r="A426" s="680">
        <v>46134</v>
      </c>
      <c r="B426" s="42" t="s">
        <v>634</v>
      </c>
      <c r="C426" s="42">
        <v>104967</v>
      </c>
      <c r="D426" s="42" t="s">
        <v>963</v>
      </c>
      <c r="E426" s="675">
        <v>55</v>
      </c>
      <c r="F426" s="675">
        <v>975</v>
      </c>
      <c r="G426" s="676">
        <v>1253.4000000000001</v>
      </c>
      <c r="H426" s="676">
        <v>0</v>
      </c>
      <c r="I426" s="676">
        <v>0</v>
      </c>
      <c r="J426" s="676">
        <v>0</v>
      </c>
      <c r="K426" s="676">
        <v>0</v>
      </c>
      <c r="L426" s="676">
        <v>0</v>
      </c>
      <c r="M426" s="676">
        <v>0</v>
      </c>
      <c r="N426" s="666">
        <v>1253.4000000000001</v>
      </c>
    </row>
    <row r="427" spans="1:14" ht="18.75">
      <c r="A427" s="680">
        <v>46111</v>
      </c>
      <c r="B427" s="42" t="s">
        <v>634</v>
      </c>
      <c r="C427" s="42">
        <v>103807</v>
      </c>
      <c r="D427" s="42" t="s">
        <v>900</v>
      </c>
      <c r="E427" s="675">
        <v>55</v>
      </c>
      <c r="F427" s="675">
        <v>1010</v>
      </c>
      <c r="G427" s="676">
        <v>95</v>
      </c>
      <c r="H427" s="676">
        <v>0</v>
      </c>
      <c r="I427" s="676">
        <v>0</v>
      </c>
      <c r="J427" s="676">
        <v>0</v>
      </c>
      <c r="K427" s="676">
        <v>0</v>
      </c>
      <c r="L427" s="676">
        <v>0</v>
      </c>
      <c r="M427" s="676">
        <v>0</v>
      </c>
      <c r="N427" s="666">
        <v>95</v>
      </c>
    </row>
    <row r="428" spans="1:14" ht="18.75">
      <c r="A428" s="674"/>
      <c r="B428" s="42" t="s">
        <v>634</v>
      </c>
      <c r="C428" s="42">
        <v>105082</v>
      </c>
      <c r="D428" s="42" t="s">
        <v>701</v>
      </c>
      <c r="E428" s="675">
        <v>55</v>
      </c>
      <c r="F428" s="675">
        <v>1010</v>
      </c>
      <c r="G428" s="676">
        <v>60</v>
      </c>
      <c r="H428" s="676">
        <v>0</v>
      </c>
      <c r="I428" s="676">
        <v>0</v>
      </c>
      <c r="J428" s="676">
        <v>0</v>
      </c>
      <c r="K428" s="676">
        <v>0</v>
      </c>
      <c r="L428" s="676">
        <v>0</v>
      </c>
      <c r="M428" s="676">
        <v>0</v>
      </c>
      <c r="N428" s="666">
        <v>60</v>
      </c>
    </row>
    <row r="429" spans="1:14" ht="18.75">
      <c r="A429" s="680">
        <v>46132</v>
      </c>
      <c r="B429" s="42" t="s">
        <v>634</v>
      </c>
      <c r="C429" s="42">
        <v>103695</v>
      </c>
      <c r="D429" s="42" t="s">
        <v>951</v>
      </c>
      <c r="E429" s="675">
        <v>55</v>
      </c>
      <c r="F429" s="675">
        <v>1155</v>
      </c>
      <c r="G429" s="676">
        <v>483</v>
      </c>
      <c r="H429" s="676">
        <v>0</v>
      </c>
      <c r="I429" s="676">
        <v>0</v>
      </c>
      <c r="J429" s="676">
        <v>0</v>
      </c>
      <c r="K429" s="676">
        <v>0</v>
      </c>
      <c r="L429" s="676">
        <v>0</v>
      </c>
      <c r="M429" s="676">
        <v>0</v>
      </c>
      <c r="N429" s="666">
        <v>483</v>
      </c>
    </row>
    <row r="430" spans="1:14" ht="18.75">
      <c r="A430" s="680">
        <v>46073</v>
      </c>
      <c r="B430" s="42" t="s">
        <v>634</v>
      </c>
      <c r="C430" s="42">
        <v>100806</v>
      </c>
      <c r="D430" s="42" t="s">
        <v>932</v>
      </c>
      <c r="E430" s="675">
        <v>60</v>
      </c>
      <c r="F430" s="675">
        <v>655</v>
      </c>
      <c r="G430" s="676">
        <v>12.6</v>
      </c>
      <c r="H430" s="676">
        <v>0</v>
      </c>
      <c r="I430" s="676">
        <v>0</v>
      </c>
      <c r="J430" s="676">
        <v>0</v>
      </c>
      <c r="K430" s="676">
        <v>0</v>
      </c>
      <c r="L430" s="676">
        <v>0</v>
      </c>
      <c r="M430" s="676">
        <v>0</v>
      </c>
      <c r="N430" s="666">
        <v>12.6</v>
      </c>
    </row>
    <row r="431" spans="1:14" ht="18.75">
      <c r="A431" s="680">
        <v>46072</v>
      </c>
      <c r="B431" s="42" t="s">
        <v>634</v>
      </c>
      <c r="C431" s="42">
        <v>101383</v>
      </c>
      <c r="D431" s="42" t="s">
        <v>770</v>
      </c>
      <c r="E431" s="675">
        <v>60</v>
      </c>
      <c r="F431" s="675">
        <v>795</v>
      </c>
      <c r="G431" s="676">
        <v>377.4</v>
      </c>
      <c r="H431" s="676">
        <v>0</v>
      </c>
      <c r="I431" s="676">
        <v>0</v>
      </c>
      <c r="J431" s="676">
        <v>0</v>
      </c>
      <c r="K431" s="676">
        <v>0</v>
      </c>
      <c r="L431" s="676">
        <v>0</v>
      </c>
      <c r="M431" s="676">
        <v>41.5</v>
      </c>
      <c r="N431" s="666">
        <v>418.9</v>
      </c>
    </row>
    <row r="432" spans="1:14" ht="18.75">
      <c r="A432" s="680">
        <v>46121</v>
      </c>
      <c r="B432" s="42" t="s">
        <v>634</v>
      </c>
      <c r="C432" s="42">
        <v>101745</v>
      </c>
      <c r="D432" s="42" t="s">
        <v>919</v>
      </c>
      <c r="E432" s="675">
        <v>60</v>
      </c>
      <c r="F432" s="675">
        <v>855</v>
      </c>
      <c r="G432" s="676">
        <v>92.8</v>
      </c>
      <c r="H432" s="676">
        <v>0</v>
      </c>
      <c r="I432" s="676">
        <v>0</v>
      </c>
      <c r="J432" s="676">
        <v>0</v>
      </c>
      <c r="K432" s="676">
        <v>0</v>
      </c>
      <c r="L432" s="676">
        <v>0</v>
      </c>
      <c r="M432" s="676">
        <v>0</v>
      </c>
      <c r="N432" s="666">
        <v>92.8</v>
      </c>
    </row>
    <row r="433" spans="1:14" ht="18.75">
      <c r="A433" s="680">
        <v>46093</v>
      </c>
      <c r="B433" s="42" t="s">
        <v>634</v>
      </c>
      <c r="C433" s="42">
        <v>105186</v>
      </c>
      <c r="D433" s="42" t="s">
        <v>976</v>
      </c>
      <c r="E433" s="675">
        <v>60</v>
      </c>
      <c r="F433" s="675">
        <v>1150</v>
      </c>
      <c r="G433" s="676">
        <v>0</v>
      </c>
      <c r="H433" s="676">
        <v>0</v>
      </c>
      <c r="I433" s="676">
        <v>0</v>
      </c>
      <c r="J433" s="676">
        <v>4000</v>
      </c>
      <c r="K433" s="676">
        <v>4000</v>
      </c>
      <c r="L433" s="676">
        <v>0</v>
      </c>
      <c r="M433" s="676">
        <v>0</v>
      </c>
      <c r="N433" s="666">
        <v>0</v>
      </c>
    </row>
    <row r="434" spans="1:14" ht="18.75">
      <c r="A434" s="680">
        <v>46102</v>
      </c>
      <c r="B434" s="42" t="s">
        <v>634</v>
      </c>
      <c r="C434" s="42">
        <v>104916</v>
      </c>
      <c r="D434" s="42" t="s">
        <v>840</v>
      </c>
      <c r="E434" s="675">
        <v>60</v>
      </c>
      <c r="F434" s="675">
        <v>1220</v>
      </c>
      <c r="G434" s="676">
        <v>710.2</v>
      </c>
      <c r="H434" s="676">
        <v>0</v>
      </c>
      <c r="I434" s="676">
        <v>0</v>
      </c>
      <c r="J434" s="676">
        <v>0</v>
      </c>
      <c r="K434" s="676">
        <v>0</v>
      </c>
      <c r="L434" s="676">
        <v>0</v>
      </c>
      <c r="M434" s="676">
        <v>0</v>
      </c>
      <c r="N434" s="666">
        <v>710.2</v>
      </c>
    </row>
    <row r="435" spans="1:14" ht="18.75">
      <c r="A435" s="680">
        <v>46136</v>
      </c>
      <c r="B435" s="42" t="s">
        <v>634</v>
      </c>
      <c r="C435" s="42">
        <v>104456</v>
      </c>
      <c r="D435" s="42" t="s">
        <v>875</v>
      </c>
      <c r="E435" s="675">
        <v>62.5</v>
      </c>
      <c r="F435" s="675">
        <v>1115</v>
      </c>
      <c r="G435" s="676">
        <v>6865.8</v>
      </c>
      <c r="H435" s="676">
        <v>0</v>
      </c>
      <c r="I435" s="676">
        <v>0</v>
      </c>
      <c r="J435" s="676">
        <v>0</v>
      </c>
      <c r="K435" s="676">
        <v>0</v>
      </c>
      <c r="L435" s="676">
        <v>0</v>
      </c>
      <c r="M435" s="676">
        <v>0</v>
      </c>
      <c r="N435" s="666">
        <v>6865.8</v>
      </c>
    </row>
    <row r="436" spans="1:14" ht="18.75">
      <c r="A436" s="680">
        <v>45908</v>
      </c>
      <c r="B436" s="42" t="s">
        <v>634</v>
      </c>
      <c r="C436" s="42">
        <v>104981</v>
      </c>
      <c r="D436" s="42" t="s">
        <v>680</v>
      </c>
      <c r="E436" s="675">
        <v>65</v>
      </c>
      <c r="F436" s="675">
        <v>795</v>
      </c>
      <c r="G436" s="676">
        <v>126</v>
      </c>
      <c r="H436" s="676">
        <v>0</v>
      </c>
      <c r="I436" s="676">
        <v>0</v>
      </c>
      <c r="J436" s="676">
        <v>0</v>
      </c>
      <c r="K436" s="676">
        <v>0</v>
      </c>
      <c r="L436" s="676">
        <v>0</v>
      </c>
      <c r="M436" s="676">
        <v>0</v>
      </c>
      <c r="N436" s="666">
        <v>126</v>
      </c>
    </row>
    <row r="437" spans="1:14" ht="18.75">
      <c r="A437" s="674"/>
      <c r="B437" s="42" t="s">
        <v>634</v>
      </c>
      <c r="C437" s="42">
        <v>105247</v>
      </c>
      <c r="D437" s="42" t="s">
        <v>977</v>
      </c>
      <c r="E437" s="675">
        <v>65</v>
      </c>
      <c r="F437" s="675">
        <v>890</v>
      </c>
      <c r="G437" s="676">
        <v>0</v>
      </c>
      <c r="H437" s="676">
        <v>0</v>
      </c>
      <c r="I437" s="676">
        <v>0</v>
      </c>
      <c r="J437" s="676">
        <v>400</v>
      </c>
      <c r="K437" s="676">
        <v>400</v>
      </c>
      <c r="L437" s="676">
        <v>0</v>
      </c>
      <c r="M437" s="676">
        <v>0</v>
      </c>
      <c r="N437" s="666">
        <v>0</v>
      </c>
    </row>
    <row r="438" spans="1:14" ht="18.75">
      <c r="A438" s="680">
        <v>46130</v>
      </c>
      <c r="B438" s="42" t="s">
        <v>634</v>
      </c>
      <c r="C438" s="42">
        <v>105231</v>
      </c>
      <c r="D438" s="42" t="s">
        <v>949</v>
      </c>
      <c r="E438" s="675">
        <v>65</v>
      </c>
      <c r="F438" s="675">
        <v>915</v>
      </c>
      <c r="G438" s="676">
        <v>180.2</v>
      </c>
      <c r="H438" s="676">
        <v>0</v>
      </c>
      <c r="I438" s="676">
        <v>0</v>
      </c>
      <c r="J438" s="676">
        <v>0</v>
      </c>
      <c r="K438" s="676">
        <v>0</v>
      </c>
      <c r="L438" s="676">
        <v>0</v>
      </c>
      <c r="M438" s="676">
        <v>0</v>
      </c>
      <c r="N438" s="666">
        <v>180.2</v>
      </c>
    </row>
    <row r="439" spans="1:14" ht="18.75">
      <c r="A439" s="680">
        <v>46130</v>
      </c>
      <c r="B439" s="42" t="s">
        <v>634</v>
      </c>
      <c r="C439" s="42">
        <v>105230</v>
      </c>
      <c r="D439" s="42" t="s">
        <v>964</v>
      </c>
      <c r="E439" s="675">
        <v>65</v>
      </c>
      <c r="F439" s="675">
        <v>935</v>
      </c>
      <c r="G439" s="676">
        <v>76</v>
      </c>
      <c r="H439" s="676">
        <v>0</v>
      </c>
      <c r="I439" s="676">
        <v>0</v>
      </c>
      <c r="J439" s="676">
        <v>0</v>
      </c>
      <c r="K439" s="676">
        <v>0</v>
      </c>
      <c r="L439" s="676">
        <v>0</v>
      </c>
      <c r="M439" s="676">
        <v>0</v>
      </c>
      <c r="N439" s="666">
        <v>76</v>
      </c>
    </row>
    <row r="440" spans="1:14" ht="18.75">
      <c r="A440" s="680">
        <v>46040</v>
      </c>
      <c r="B440" s="42" t="s">
        <v>634</v>
      </c>
      <c r="C440" s="42">
        <v>105132</v>
      </c>
      <c r="D440" s="42" t="s">
        <v>749</v>
      </c>
      <c r="E440" s="675">
        <v>65</v>
      </c>
      <c r="F440" s="675">
        <v>1000</v>
      </c>
      <c r="G440" s="676">
        <v>93</v>
      </c>
      <c r="H440" s="676">
        <v>0</v>
      </c>
      <c r="I440" s="676">
        <v>0</v>
      </c>
      <c r="J440" s="676">
        <v>0</v>
      </c>
      <c r="K440" s="676">
        <v>0</v>
      </c>
      <c r="L440" s="676">
        <v>0</v>
      </c>
      <c r="M440" s="676">
        <v>0</v>
      </c>
      <c r="N440" s="666">
        <v>93</v>
      </c>
    </row>
    <row r="441" spans="1:14" ht="18.75">
      <c r="A441" s="680">
        <v>46074</v>
      </c>
      <c r="B441" s="42" t="s">
        <v>634</v>
      </c>
      <c r="C441" s="42">
        <v>103458</v>
      </c>
      <c r="D441" s="42" t="s">
        <v>640</v>
      </c>
      <c r="E441" s="675">
        <v>65</v>
      </c>
      <c r="F441" s="675">
        <v>1155</v>
      </c>
      <c r="G441" s="676">
        <v>109</v>
      </c>
      <c r="H441" s="676">
        <v>0</v>
      </c>
      <c r="I441" s="676">
        <v>0</v>
      </c>
      <c r="J441" s="676">
        <v>0</v>
      </c>
      <c r="K441" s="676">
        <v>0</v>
      </c>
      <c r="L441" s="676">
        <v>0</v>
      </c>
      <c r="M441" s="676">
        <v>0</v>
      </c>
      <c r="N441" s="666">
        <v>109</v>
      </c>
    </row>
    <row r="442" spans="1:14" ht="18.75">
      <c r="A442" s="674"/>
      <c r="B442" s="42" t="s">
        <v>634</v>
      </c>
      <c r="C442" s="42">
        <v>105248</v>
      </c>
      <c r="D442" s="42" t="s">
        <v>978</v>
      </c>
      <c r="E442" s="675">
        <v>65</v>
      </c>
      <c r="F442" s="675">
        <v>1210</v>
      </c>
      <c r="G442" s="676">
        <v>0</v>
      </c>
      <c r="H442" s="676">
        <v>0</v>
      </c>
      <c r="I442" s="676">
        <v>0</v>
      </c>
      <c r="J442" s="676">
        <v>250</v>
      </c>
      <c r="K442" s="676">
        <v>250</v>
      </c>
      <c r="L442" s="676">
        <v>0</v>
      </c>
      <c r="M442" s="676">
        <v>0</v>
      </c>
      <c r="N442" s="666">
        <v>0</v>
      </c>
    </row>
    <row r="443" spans="1:14" ht="18.75">
      <c r="A443" s="680">
        <v>46102</v>
      </c>
      <c r="B443" s="42" t="s">
        <v>634</v>
      </c>
      <c r="C443" s="42">
        <v>105074</v>
      </c>
      <c r="D443" s="42" t="s">
        <v>841</v>
      </c>
      <c r="E443" s="675">
        <v>70</v>
      </c>
      <c r="F443" s="675">
        <v>675</v>
      </c>
      <c r="G443" s="676">
        <v>526.4</v>
      </c>
      <c r="H443" s="676">
        <v>0</v>
      </c>
      <c r="I443" s="676">
        <v>0</v>
      </c>
      <c r="J443" s="676">
        <v>0</v>
      </c>
      <c r="K443" s="676">
        <v>0</v>
      </c>
      <c r="L443" s="676">
        <v>0</v>
      </c>
      <c r="M443" s="676">
        <v>0</v>
      </c>
      <c r="N443" s="666">
        <v>526.4</v>
      </c>
    </row>
    <row r="444" spans="1:14" ht="18.75">
      <c r="A444" s="680">
        <v>46102</v>
      </c>
      <c r="B444" s="42" t="s">
        <v>634</v>
      </c>
      <c r="C444" s="42">
        <v>105075</v>
      </c>
      <c r="D444" s="42" t="s">
        <v>842</v>
      </c>
      <c r="E444" s="675">
        <v>70</v>
      </c>
      <c r="F444" s="675">
        <v>895</v>
      </c>
      <c r="G444" s="676">
        <v>245.8</v>
      </c>
      <c r="H444" s="676">
        <v>0</v>
      </c>
      <c r="I444" s="676">
        <v>0</v>
      </c>
      <c r="J444" s="676">
        <v>0</v>
      </c>
      <c r="K444" s="676">
        <v>0</v>
      </c>
      <c r="L444" s="676">
        <v>0</v>
      </c>
      <c r="M444" s="676">
        <v>0</v>
      </c>
      <c r="N444" s="666">
        <v>245.8</v>
      </c>
    </row>
    <row r="445" spans="1:14" ht="18.75">
      <c r="A445" s="680">
        <v>45880</v>
      </c>
      <c r="B445" s="42" t="s">
        <v>634</v>
      </c>
      <c r="C445" s="42">
        <v>101386</v>
      </c>
      <c r="D445" s="42" t="s">
        <v>788</v>
      </c>
      <c r="E445" s="675">
        <v>75</v>
      </c>
      <c r="F445" s="675">
        <v>900</v>
      </c>
      <c r="G445" s="676">
        <v>100</v>
      </c>
      <c r="H445" s="676">
        <v>0</v>
      </c>
      <c r="I445" s="676">
        <v>0</v>
      </c>
      <c r="J445" s="676">
        <v>0</v>
      </c>
      <c r="K445" s="676">
        <v>0</v>
      </c>
      <c r="L445" s="676">
        <v>0</v>
      </c>
      <c r="M445" s="676">
        <v>0</v>
      </c>
      <c r="N445" s="666">
        <v>100</v>
      </c>
    </row>
    <row r="446" spans="1:14" ht="18.75">
      <c r="A446" s="680">
        <v>46137</v>
      </c>
      <c r="B446" s="42" t="s">
        <v>634</v>
      </c>
      <c r="C446" s="42">
        <v>105210</v>
      </c>
      <c r="D446" s="42" t="s">
        <v>969</v>
      </c>
      <c r="E446" s="675">
        <v>75</v>
      </c>
      <c r="F446" s="675">
        <v>970</v>
      </c>
      <c r="G446" s="676">
        <v>4369.3999999999996</v>
      </c>
      <c r="H446" s="676">
        <v>0</v>
      </c>
      <c r="I446" s="676">
        <v>0</v>
      </c>
      <c r="J446" s="676">
        <v>0</v>
      </c>
      <c r="K446" s="676">
        <v>0</v>
      </c>
      <c r="L446" s="676">
        <v>0</v>
      </c>
      <c r="M446" s="676">
        <v>0</v>
      </c>
      <c r="N446" s="666">
        <v>4369.3999999999996</v>
      </c>
    </row>
    <row r="447" spans="1:14" ht="18.75">
      <c r="A447" s="680">
        <v>46062</v>
      </c>
      <c r="B447" s="42" t="s">
        <v>634</v>
      </c>
      <c r="C447" s="42">
        <v>103742</v>
      </c>
      <c r="D447" s="42" t="s">
        <v>750</v>
      </c>
      <c r="E447" s="675">
        <v>80</v>
      </c>
      <c r="F447" s="675">
        <v>795</v>
      </c>
      <c r="G447" s="676">
        <v>211.2</v>
      </c>
      <c r="H447" s="676">
        <v>0</v>
      </c>
      <c r="I447" s="676">
        <v>0</v>
      </c>
      <c r="J447" s="676">
        <v>0</v>
      </c>
      <c r="K447" s="676">
        <v>0</v>
      </c>
      <c r="L447" s="676">
        <v>0</v>
      </c>
      <c r="M447" s="676">
        <v>0</v>
      </c>
      <c r="N447" s="666">
        <v>211.2</v>
      </c>
    </row>
    <row r="448" spans="1:14" ht="18.75">
      <c r="A448" s="680">
        <v>46075</v>
      </c>
      <c r="B448" s="42" t="s">
        <v>634</v>
      </c>
      <c r="C448" s="42">
        <v>103318</v>
      </c>
      <c r="D448" s="42" t="s">
        <v>639</v>
      </c>
      <c r="E448" s="675">
        <v>85</v>
      </c>
      <c r="F448" s="675">
        <v>545</v>
      </c>
      <c r="G448" s="676">
        <v>459.6</v>
      </c>
      <c r="H448" s="676">
        <v>0</v>
      </c>
      <c r="I448" s="676">
        <v>0</v>
      </c>
      <c r="J448" s="676">
        <v>0</v>
      </c>
      <c r="K448" s="676">
        <v>0</v>
      </c>
      <c r="L448" s="676">
        <v>0</v>
      </c>
      <c r="M448" s="676">
        <v>0</v>
      </c>
      <c r="N448" s="666">
        <v>459.6</v>
      </c>
    </row>
    <row r="449" spans="1:14" ht="18.75">
      <c r="A449" s="680">
        <v>46116</v>
      </c>
      <c r="B449" s="42" t="s">
        <v>634</v>
      </c>
      <c r="C449" s="42">
        <v>101209</v>
      </c>
      <c r="D449" s="42" t="s">
        <v>767</v>
      </c>
      <c r="E449" s="675">
        <v>85</v>
      </c>
      <c r="F449" s="675">
        <v>565</v>
      </c>
      <c r="G449" s="676">
        <v>366.4</v>
      </c>
      <c r="H449" s="676">
        <v>0</v>
      </c>
      <c r="I449" s="676">
        <v>0</v>
      </c>
      <c r="J449" s="676">
        <v>500</v>
      </c>
      <c r="K449" s="676">
        <v>0</v>
      </c>
      <c r="L449" s="676">
        <v>0</v>
      </c>
      <c r="M449" s="676">
        <v>0</v>
      </c>
      <c r="N449" s="666">
        <v>366.4</v>
      </c>
    </row>
    <row r="450" spans="1:14" ht="18.75">
      <c r="A450" s="680">
        <v>45880</v>
      </c>
      <c r="B450" s="42" t="s">
        <v>634</v>
      </c>
      <c r="C450" s="42">
        <v>104223</v>
      </c>
      <c r="D450" s="42" t="s">
        <v>659</v>
      </c>
      <c r="E450" s="675">
        <v>85</v>
      </c>
      <c r="F450" s="675">
        <v>580</v>
      </c>
      <c r="G450" s="676">
        <v>27.85</v>
      </c>
      <c r="H450" s="676">
        <v>0</v>
      </c>
      <c r="I450" s="676">
        <v>0</v>
      </c>
      <c r="J450" s="676">
        <v>0</v>
      </c>
      <c r="K450" s="676">
        <v>0</v>
      </c>
      <c r="L450" s="676">
        <v>0</v>
      </c>
      <c r="M450" s="676">
        <v>0</v>
      </c>
      <c r="N450" s="666">
        <v>27.85</v>
      </c>
    </row>
    <row r="451" spans="1:14" ht="18.75">
      <c r="A451" s="680">
        <v>45861</v>
      </c>
      <c r="B451" s="42" t="s">
        <v>634</v>
      </c>
      <c r="C451" s="42">
        <v>102063</v>
      </c>
      <c r="D451" s="42" t="s">
        <v>853</v>
      </c>
      <c r="E451" s="675">
        <v>85</v>
      </c>
      <c r="F451" s="675">
        <v>655</v>
      </c>
      <c r="G451" s="676">
        <v>56</v>
      </c>
      <c r="H451" s="676">
        <v>0</v>
      </c>
      <c r="I451" s="676">
        <v>0</v>
      </c>
      <c r="J451" s="676">
        <v>0</v>
      </c>
      <c r="K451" s="676">
        <v>0</v>
      </c>
      <c r="L451" s="676">
        <v>0</v>
      </c>
      <c r="M451" s="676">
        <v>0</v>
      </c>
      <c r="N451" s="666">
        <v>56</v>
      </c>
    </row>
    <row r="452" spans="1:14" ht="18.75">
      <c r="A452" s="680">
        <v>45861</v>
      </c>
      <c r="B452" s="42" t="s">
        <v>634</v>
      </c>
      <c r="C452" s="42">
        <v>102983</v>
      </c>
      <c r="D452" s="42" t="s">
        <v>846</v>
      </c>
      <c r="E452" s="675">
        <v>85</v>
      </c>
      <c r="F452" s="675">
        <v>675</v>
      </c>
      <c r="G452" s="676">
        <v>115</v>
      </c>
      <c r="H452" s="676">
        <v>0</v>
      </c>
      <c r="I452" s="676">
        <v>0</v>
      </c>
      <c r="J452" s="676">
        <v>0</v>
      </c>
      <c r="K452" s="676">
        <v>0</v>
      </c>
      <c r="L452" s="676">
        <v>0</v>
      </c>
      <c r="M452" s="676">
        <v>82.8</v>
      </c>
      <c r="N452" s="666">
        <v>197.8</v>
      </c>
    </row>
    <row r="453" spans="1:14" ht="18.75">
      <c r="A453" s="680">
        <v>46103</v>
      </c>
      <c r="B453" s="42" t="s">
        <v>634</v>
      </c>
      <c r="C453" s="42">
        <v>102022</v>
      </c>
      <c r="D453" s="42" t="s">
        <v>856</v>
      </c>
      <c r="E453" s="675">
        <v>85</v>
      </c>
      <c r="F453" s="675">
        <v>680</v>
      </c>
      <c r="G453" s="676">
        <v>106</v>
      </c>
      <c r="H453" s="676">
        <v>0</v>
      </c>
      <c r="I453" s="676">
        <v>0</v>
      </c>
      <c r="J453" s="676">
        <v>0</v>
      </c>
      <c r="K453" s="676">
        <v>0</v>
      </c>
      <c r="L453" s="676">
        <v>0</v>
      </c>
      <c r="M453" s="676">
        <v>0</v>
      </c>
      <c r="N453" s="666">
        <v>106</v>
      </c>
    </row>
    <row r="454" spans="1:14" ht="18.75">
      <c r="A454" s="680">
        <v>46117</v>
      </c>
      <c r="B454" s="42" t="s">
        <v>634</v>
      </c>
      <c r="C454" s="42">
        <v>102750</v>
      </c>
      <c r="D454" s="42" t="s">
        <v>957</v>
      </c>
      <c r="E454" s="675">
        <v>85</v>
      </c>
      <c r="F454" s="675">
        <v>695</v>
      </c>
      <c r="G454" s="676">
        <v>27</v>
      </c>
      <c r="H454" s="676">
        <v>0</v>
      </c>
      <c r="I454" s="676">
        <v>0</v>
      </c>
      <c r="J454" s="676">
        <v>0</v>
      </c>
      <c r="K454" s="676">
        <v>0</v>
      </c>
      <c r="L454" s="676">
        <v>0</v>
      </c>
      <c r="M454" s="676">
        <v>0</v>
      </c>
      <c r="N454" s="666">
        <v>27</v>
      </c>
    </row>
    <row r="455" spans="1:14" ht="18.75">
      <c r="A455" s="680">
        <v>46084</v>
      </c>
      <c r="B455" s="42" t="s">
        <v>634</v>
      </c>
      <c r="C455" s="42">
        <v>105179</v>
      </c>
      <c r="D455" s="42" t="s">
        <v>791</v>
      </c>
      <c r="E455" s="675">
        <v>85</v>
      </c>
      <c r="F455" s="675">
        <v>905</v>
      </c>
      <c r="G455" s="676">
        <v>819</v>
      </c>
      <c r="H455" s="676">
        <v>0</v>
      </c>
      <c r="I455" s="676">
        <v>0</v>
      </c>
      <c r="J455" s="676">
        <v>0</v>
      </c>
      <c r="K455" s="676">
        <v>0</v>
      </c>
      <c r="L455" s="676">
        <v>0</v>
      </c>
      <c r="M455" s="676">
        <v>0</v>
      </c>
      <c r="N455" s="666">
        <v>819</v>
      </c>
    </row>
    <row r="456" spans="1:14" ht="18.75">
      <c r="A456" s="680">
        <v>45952</v>
      </c>
      <c r="B456" s="42" t="s">
        <v>634</v>
      </c>
      <c r="C456" s="42">
        <v>105027</v>
      </c>
      <c r="D456" s="42" t="s">
        <v>690</v>
      </c>
      <c r="E456" s="675">
        <v>85</v>
      </c>
      <c r="F456" s="675">
        <v>915</v>
      </c>
      <c r="G456" s="676">
        <v>172</v>
      </c>
      <c r="H456" s="676">
        <v>0</v>
      </c>
      <c r="I456" s="676">
        <v>0</v>
      </c>
      <c r="J456" s="676">
        <v>0</v>
      </c>
      <c r="K456" s="676">
        <v>0</v>
      </c>
      <c r="L456" s="676">
        <v>0</v>
      </c>
      <c r="M456" s="676">
        <v>0</v>
      </c>
      <c r="N456" s="666">
        <v>172</v>
      </c>
    </row>
    <row r="457" spans="1:14" ht="18.75">
      <c r="A457" s="680">
        <v>45985</v>
      </c>
      <c r="B457" s="42" t="s">
        <v>634</v>
      </c>
      <c r="C457" s="42">
        <v>105026</v>
      </c>
      <c r="D457" s="42" t="s">
        <v>700</v>
      </c>
      <c r="E457" s="675">
        <v>85</v>
      </c>
      <c r="F457" s="675">
        <v>1015</v>
      </c>
      <c r="G457" s="676">
        <v>176.6</v>
      </c>
      <c r="H457" s="676">
        <v>0</v>
      </c>
      <c r="I457" s="676">
        <v>0</v>
      </c>
      <c r="J457" s="676">
        <v>0</v>
      </c>
      <c r="K457" s="676">
        <v>0</v>
      </c>
      <c r="L457" s="676">
        <v>0</v>
      </c>
      <c r="M457" s="676">
        <v>0</v>
      </c>
      <c r="N457" s="666">
        <v>176.6</v>
      </c>
    </row>
    <row r="458" spans="1:14" ht="18.75">
      <c r="A458" s="674"/>
      <c r="B458" s="42" t="s">
        <v>634</v>
      </c>
      <c r="C458" s="42">
        <v>105197</v>
      </c>
      <c r="D458" s="42" t="s">
        <v>857</v>
      </c>
      <c r="E458" s="675">
        <v>85</v>
      </c>
      <c r="F458" s="675">
        <v>1070</v>
      </c>
      <c r="G458" s="676">
        <v>0</v>
      </c>
      <c r="H458" s="676">
        <v>0</v>
      </c>
      <c r="I458" s="676">
        <v>0</v>
      </c>
      <c r="J458" s="676">
        <v>2000</v>
      </c>
      <c r="K458" s="676">
        <v>2000</v>
      </c>
      <c r="L458" s="676">
        <v>0</v>
      </c>
      <c r="M458" s="676">
        <v>0</v>
      </c>
      <c r="N458" s="666">
        <v>0</v>
      </c>
    </row>
    <row r="459" spans="1:14" ht="18.75">
      <c r="A459" s="680">
        <v>46129</v>
      </c>
      <c r="B459" s="42" t="s">
        <v>634</v>
      </c>
      <c r="C459" s="42">
        <v>104985</v>
      </c>
      <c r="D459" s="42" t="s">
        <v>832</v>
      </c>
      <c r="E459" s="675">
        <v>85</v>
      </c>
      <c r="F459" s="675">
        <v>1110</v>
      </c>
      <c r="G459" s="676">
        <v>3785.2</v>
      </c>
      <c r="H459" s="676">
        <v>0</v>
      </c>
      <c r="I459" s="676">
        <v>0</v>
      </c>
      <c r="J459" s="676">
        <v>9000</v>
      </c>
      <c r="K459" s="676">
        <v>0</v>
      </c>
      <c r="L459" s="676">
        <v>0</v>
      </c>
      <c r="M459" s="676">
        <v>0</v>
      </c>
      <c r="N459" s="666">
        <v>3785.2</v>
      </c>
    </row>
    <row r="460" spans="1:14" ht="18.75">
      <c r="A460" s="680">
        <v>45964</v>
      </c>
      <c r="B460" s="42" t="s">
        <v>634</v>
      </c>
      <c r="C460" s="42">
        <v>102724</v>
      </c>
      <c r="D460" s="42" t="s">
        <v>685</v>
      </c>
      <c r="E460" s="675">
        <v>90</v>
      </c>
      <c r="F460" s="675">
        <v>675</v>
      </c>
      <c r="G460" s="676">
        <v>345.2</v>
      </c>
      <c r="H460" s="676">
        <v>0</v>
      </c>
      <c r="I460" s="676">
        <v>0</v>
      </c>
      <c r="J460" s="676">
        <v>0</v>
      </c>
      <c r="K460" s="676">
        <v>0</v>
      </c>
      <c r="L460" s="676">
        <v>0</v>
      </c>
      <c r="M460" s="676">
        <v>0</v>
      </c>
      <c r="N460" s="666">
        <v>345.2</v>
      </c>
    </row>
    <row r="461" spans="1:14" ht="18.75">
      <c r="A461" s="680">
        <v>46074</v>
      </c>
      <c r="B461" s="42" t="s">
        <v>634</v>
      </c>
      <c r="C461" s="42">
        <v>102919</v>
      </c>
      <c r="D461" s="42" t="s">
        <v>779</v>
      </c>
      <c r="E461" s="675">
        <v>95</v>
      </c>
      <c r="F461" s="675">
        <v>575</v>
      </c>
      <c r="G461" s="676">
        <v>97</v>
      </c>
      <c r="H461" s="676">
        <v>0</v>
      </c>
      <c r="I461" s="676">
        <v>0</v>
      </c>
      <c r="J461" s="676">
        <v>0</v>
      </c>
      <c r="K461" s="676">
        <v>0</v>
      </c>
      <c r="L461" s="676">
        <v>0</v>
      </c>
      <c r="M461" s="676">
        <v>0</v>
      </c>
      <c r="N461" s="666">
        <v>97</v>
      </c>
    </row>
    <row r="462" spans="1:14" ht="18.75">
      <c r="A462" s="680">
        <v>46038</v>
      </c>
      <c r="B462" s="42" t="s">
        <v>634</v>
      </c>
      <c r="C462" s="42">
        <v>101862</v>
      </c>
      <c r="D462" s="42" t="s">
        <v>724</v>
      </c>
      <c r="E462" s="675">
        <v>95</v>
      </c>
      <c r="F462" s="675">
        <v>655</v>
      </c>
      <c r="G462" s="676">
        <v>530.6</v>
      </c>
      <c r="H462" s="676">
        <v>0</v>
      </c>
      <c r="I462" s="676">
        <v>0</v>
      </c>
      <c r="J462" s="676">
        <v>0</v>
      </c>
      <c r="K462" s="676">
        <v>0</v>
      </c>
      <c r="L462" s="676">
        <v>0</v>
      </c>
      <c r="M462" s="676">
        <v>135.6</v>
      </c>
      <c r="N462" s="666">
        <v>666.2</v>
      </c>
    </row>
    <row r="463" spans="1:14" ht="18.75">
      <c r="A463" s="680">
        <v>46074</v>
      </c>
      <c r="B463" s="42" t="s">
        <v>634</v>
      </c>
      <c r="C463" s="42">
        <v>102920</v>
      </c>
      <c r="D463" s="42" t="s">
        <v>780</v>
      </c>
      <c r="E463" s="675">
        <v>95</v>
      </c>
      <c r="F463" s="675">
        <v>655</v>
      </c>
      <c r="G463" s="676">
        <v>174.4</v>
      </c>
      <c r="H463" s="676">
        <v>0</v>
      </c>
      <c r="I463" s="676">
        <v>0</v>
      </c>
      <c r="J463" s="676">
        <v>0</v>
      </c>
      <c r="K463" s="676">
        <v>0</v>
      </c>
      <c r="L463" s="676">
        <v>0</v>
      </c>
      <c r="M463" s="676">
        <v>0</v>
      </c>
      <c r="N463" s="666">
        <v>174.4</v>
      </c>
    </row>
    <row r="464" spans="1:14" ht="18.75">
      <c r="A464" s="680">
        <v>46084</v>
      </c>
      <c r="B464" s="42" t="s">
        <v>634</v>
      </c>
      <c r="C464" s="42">
        <v>104644</v>
      </c>
      <c r="D464" s="42" t="s">
        <v>818</v>
      </c>
      <c r="E464" s="675">
        <v>95</v>
      </c>
      <c r="F464" s="675">
        <v>715</v>
      </c>
      <c r="G464" s="676">
        <v>50.2</v>
      </c>
      <c r="H464" s="676">
        <v>0</v>
      </c>
      <c r="I464" s="676">
        <v>0</v>
      </c>
      <c r="J464" s="676">
        <v>0</v>
      </c>
      <c r="K464" s="676">
        <v>0</v>
      </c>
      <c r="L464" s="676">
        <v>0</v>
      </c>
      <c r="M464" s="676">
        <v>0</v>
      </c>
      <c r="N464" s="666">
        <v>50.2</v>
      </c>
    </row>
    <row r="465" spans="1:14" ht="18.75">
      <c r="A465" s="680">
        <v>45463</v>
      </c>
      <c r="B465" s="42" t="s">
        <v>634</v>
      </c>
      <c r="C465" s="42">
        <v>104249</v>
      </c>
      <c r="D465" s="42" t="s">
        <v>819</v>
      </c>
      <c r="E465" s="675">
        <v>95</v>
      </c>
      <c r="F465" s="675">
        <v>765</v>
      </c>
      <c r="G465" s="676">
        <v>105</v>
      </c>
      <c r="H465" s="676">
        <v>0</v>
      </c>
      <c r="I465" s="676">
        <v>0</v>
      </c>
      <c r="J465" s="676">
        <v>0</v>
      </c>
      <c r="K465" s="676">
        <v>0</v>
      </c>
      <c r="L465" s="676">
        <v>0</v>
      </c>
      <c r="M465" s="676">
        <v>0</v>
      </c>
      <c r="N465" s="666">
        <v>105</v>
      </c>
    </row>
    <row r="466" spans="1:14" ht="18.75">
      <c r="A466" s="680">
        <v>46075</v>
      </c>
      <c r="B466" s="42" t="s">
        <v>634</v>
      </c>
      <c r="C466" s="42">
        <v>101857</v>
      </c>
      <c r="D466" s="42" t="s">
        <v>781</v>
      </c>
      <c r="E466" s="675">
        <v>95</v>
      </c>
      <c r="F466" s="675">
        <v>855</v>
      </c>
      <c r="G466" s="676">
        <v>228.8</v>
      </c>
      <c r="H466" s="676">
        <v>0</v>
      </c>
      <c r="I466" s="676">
        <v>0</v>
      </c>
      <c r="J466" s="676">
        <v>0</v>
      </c>
      <c r="K466" s="676">
        <v>0</v>
      </c>
      <c r="L466" s="676">
        <v>0</v>
      </c>
      <c r="M466" s="676">
        <v>5</v>
      </c>
      <c r="N466" s="666">
        <v>233.8</v>
      </c>
    </row>
    <row r="467" spans="1:14" ht="18.75">
      <c r="A467" s="680">
        <v>46074</v>
      </c>
      <c r="B467" s="42" t="s">
        <v>634</v>
      </c>
      <c r="C467" s="42">
        <v>101859</v>
      </c>
      <c r="D467" s="42" t="s">
        <v>776</v>
      </c>
      <c r="E467" s="675">
        <v>95</v>
      </c>
      <c r="F467" s="675">
        <v>1065</v>
      </c>
      <c r="G467" s="676">
        <v>253.6</v>
      </c>
      <c r="H467" s="676">
        <v>0</v>
      </c>
      <c r="I467" s="676">
        <v>0</v>
      </c>
      <c r="J467" s="676">
        <v>0</v>
      </c>
      <c r="K467" s="676">
        <v>0</v>
      </c>
      <c r="L467" s="676">
        <v>0</v>
      </c>
      <c r="M467" s="676">
        <v>0</v>
      </c>
      <c r="N467" s="666">
        <v>253.6</v>
      </c>
    </row>
    <row r="468" spans="1:14" ht="18.75">
      <c r="A468" s="680">
        <v>46074</v>
      </c>
      <c r="B468" s="42" t="s">
        <v>634</v>
      </c>
      <c r="C468" s="42">
        <v>101860</v>
      </c>
      <c r="D468" s="42" t="s">
        <v>777</v>
      </c>
      <c r="E468" s="675">
        <v>95</v>
      </c>
      <c r="F468" s="675">
        <v>1135</v>
      </c>
      <c r="G468" s="676">
        <v>521.29999999999995</v>
      </c>
      <c r="H468" s="676">
        <v>0</v>
      </c>
      <c r="I468" s="676">
        <v>0</v>
      </c>
      <c r="J468" s="676">
        <v>0</v>
      </c>
      <c r="K468" s="676">
        <v>0</v>
      </c>
      <c r="L468" s="676">
        <v>0</v>
      </c>
      <c r="M468" s="676">
        <v>0</v>
      </c>
      <c r="N468" s="666">
        <v>521.29999999999995</v>
      </c>
    </row>
    <row r="469" spans="1:14" ht="18.75">
      <c r="A469" s="680">
        <v>46103</v>
      </c>
      <c r="B469" s="42" t="s">
        <v>634</v>
      </c>
      <c r="C469" s="42">
        <v>100095</v>
      </c>
      <c r="D469" s="42" t="s">
        <v>847</v>
      </c>
      <c r="E469" s="675">
        <v>110</v>
      </c>
      <c r="F469" s="675">
        <v>975</v>
      </c>
      <c r="G469" s="676">
        <v>579.20000000000005</v>
      </c>
      <c r="H469" s="676">
        <v>0</v>
      </c>
      <c r="I469" s="676">
        <v>0</v>
      </c>
      <c r="J469" s="676">
        <v>0</v>
      </c>
      <c r="K469" s="676">
        <v>0</v>
      </c>
      <c r="L469" s="676">
        <v>0</v>
      </c>
      <c r="M469" s="676">
        <v>0</v>
      </c>
      <c r="N469" s="666">
        <v>579.20000000000005</v>
      </c>
    </row>
    <row r="470" spans="1:14" ht="18.75">
      <c r="A470" s="680">
        <v>46074</v>
      </c>
      <c r="B470" s="42" t="s">
        <v>634</v>
      </c>
      <c r="C470" s="42">
        <v>100524</v>
      </c>
      <c r="D470" s="42" t="s">
        <v>737</v>
      </c>
      <c r="E470" s="675">
        <v>110</v>
      </c>
      <c r="F470" s="675">
        <v>1125</v>
      </c>
      <c r="G470" s="676">
        <v>611.6</v>
      </c>
      <c r="H470" s="676">
        <v>0</v>
      </c>
      <c r="I470" s="676">
        <v>0</v>
      </c>
      <c r="J470" s="676">
        <v>0</v>
      </c>
      <c r="K470" s="676">
        <v>0</v>
      </c>
      <c r="L470" s="676">
        <v>0</v>
      </c>
      <c r="M470" s="676">
        <v>0</v>
      </c>
      <c r="N470" s="666">
        <v>611.6</v>
      </c>
    </row>
    <row r="471" spans="1:14" ht="18.75">
      <c r="A471" s="680">
        <v>46130</v>
      </c>
      <c r="B471" s="42" t="s">
        <v>634</v>
      </c>
      <c r="C471" s="42">
        <v>105062</v>
      </c>
      <c r="D471" s="42" t="s">
        <v>958</v>
      </c>
      <c r="E471" s="675">
        <v>125</v>
      </c>
      <c r="F471" s="675">
        <v>815</v>
      </c>
      <c r="G471" s="676">
        <v>204.4</v>
      </c>
      <c r="H471" s="676">
        <v>0</v>
      </c>
      <c r="I471" s="676">
        <v>0</v>
      </c>
      <c r="J471" s="676">
        <v>0</v>
      </c>
      <c r="K471" s="676">
        <v>0</v>
      </c>
      <c r="L471" s="676">
        <v>0</v>
      </c>
      <c r="M471" s="676">
        <v>0</v>
      </c>
      <c r="N471" s="666">
        <v>204.4</v>
      </c>
    </row>
    <row r="472" spans="1:14" ht="18.75">
      <c r="A472" s="680">
        <v>46130</v>
      </c>
      <c r="B472" s="42" t="s">
        <v>634</v>
      </c>
      <c r="C472" s="42">
        <v>105061</v>
      </c>
      <c r="D472" s="42" t="s">
        <v>707</v>
      </c>
      <c r="E472" s="675">
        <v>125</v>
      </c>
      <c r="F472" s="675">
        <v>915</v>
      </c>
      <c r="G472" s="676">
        <v>329.2</v>
      </c>
      <c r="H472" s="676">
        <v>0</v>
      </c>
      <c r="I472" s="676">
        <v>0</v>
      </c>
      <c r="J472" s="676">
        <v>0</v>
      </c>
      <c r="K472" s="676">
        <v>0</v>
      </c>
      <c r="L472" s="676">
        <v>0</v>
      </c>
      <c r="M472" s="676">
        <v>0</v>
      </c>
      <c r="N472" s="666">
        <v>329.2</v>
      </c>
    </row>
    <row r="473" spans="1:14" ht="18.75">
      <c r="A473" s="680">
        <v>46120</v>
      </c>
      <c r="B473" s="42" t="s">
        <v>641</v>
      </c>
      <c r="C473" s="42">
        <v>105077</v>
      </c>
      <c r="D473" s="42" t="s">
        <v>693</v>
      </c>
      <c r="E473" s="675">
        <v>20</v>
      </c>
      <c r="F473" s="675">
        <v>815</v>
      </c>
      <c r="G473" s="676">
        <v>303.2</v>
      </c>
      <c r="H473" s="676">
        <v>345</v>
      </c>
      <c r="I473" s="676">
        <v>0</v>
      </c>
      <c r="J473" s="676">
        <v>0</v>
      </c>
      <c r="K473" s="676">
        <v>0</v>
      </c>
      <c r="L473" s="676">
        <v>0</v>
      </c>
      <c r="M473" s="676">
        <v>0</v>
      </c>
      <c r="N473" s="666">
        <v>648.20000000000005</v>
      </c>
    </row>
    <row r="474" spans="1:14" ht="18.75">
      <c r="A474" s="680">
        <v>46120</v>
      </c>
      <c r="B474" s="42" t="s">
        <v>641</v>
      </c>
      <c r="C474" s="42">
        <v>105078</v>
      </c>
      <c r="D474" s="42" t="s">
        <v>916</v>
      </c>
      <c r="E474" s="675">
        <v>20</v>
      </c>
      <c r="F474" s="675">
        <v>975</v>
      </c>
      <c r="G474" s="676">
        <v>198</v>
      </c>
      <c r="H474" s="676">
        <v>0</v>
      </c>
      <c r="I474" s="676">
        <v>0</v>
      </c>
      <c r="J474" s="676">
        <v>0</v>
      </c>
      <c r="K474" s="676">
        <v>0</v>
      </c>
      <c r="L474" s="676">
        <v>0</v>
      </c>
      <c r="M474" s="676">
        <v>0</v>
      </c>
      <c r="N474" s="666">
        <v>198</v>
      </c>
    </row>
    <row r="475" spans="1:14" ht="18.75">
      <c r="A475" s="680">
        <v>46069</v>
      </c>
      <c r="B475" s="42" t="s">
        <v>641</v>
      </c>
      <c r="C475" s="42">
        <v>105076</v>
      </c>
      <c r="D475" s="42" t="s">
        <v>763</v>
      </c>
      <c r="E475" s="675">
        <v>20</v>
      </c>
      <c r="F475" s="675">
        <v>1005</v>
      </c>
      <c r="G475" s="676">
        <v>264.2</v>
      </c>
      <c r="H475" s="676">
        <v>0</v>
      </c>
      <c r="I475" s="676">
        <v>0</v>
      </c>
      <c r="J475" s="676">
        <v>0</v>
      </c>
      <c r="K475" s="676">
        <v>0</v>
      </c>
      <c r="L475" s="676">
        <v>0</v>
      </c>
      <c r="M475" s="676">
        <v>0</v>
      </c>
      <c r="N475" s="666">
        <v>264.2</v>
      </c>
    </row>
    <row r="476" spans="1:14" ht="18.75">
      <c r="A476" s="680">
        <v>46119</v>
      </c>
      <c r="B476" s="42" t="s">
        <v>641</v>
      </c>
      <c r="C476" s="42">
        <v>104275</v>
      </c>
      <c r="D476" s="42" t="s">
        <v>725</v>
      </c>
      <c r="E476" s="675">
        <v>22</v>
      </c>
      <c r="F476" s="675">
        <v>1120</v>
      </c>
      <c r="G476" s="676">
        <v>826</v>
      </c>
      <c r="H476" s="676">
        <v>0</v>
      </c>
      <c r="I476" s="676">
        <v>0</v>
      </c>
      <c r="J476" s="676">
        <v>0</v>
      </c>
      <c r="K476" s="676">
        <v>0</v>
      </c>
      <c r="L476" s="676">
        <v>0</v>
      </c>
      <c r="M476" s="676">
        <v>0</v>
      </c>
      <c r="N476" s="666">
        <v>826</v>
      </c>
    </row>
    <row r="477" spans="1:14" ht="18.75">
      <c r="A477" s="680">
        <v>46121</v>
      </c>
      <c r="B477" s="42" t="s">
        <v>641</v>
      </c>
      <c r="C477" s="42">
        <v>104224</v>
      </c>
      <c r="D477" s="42" t="s">
        <v>934</v>
      </c>
      <c r="E477" s="675">
        <v>25</v>
      </c>
      <c r="F477" s="675">
        <v>580</v>
      </c>
      <c r="G477" s="676">
        <v>105.4</v>
      </c>
      <c r="H477" s="676">
        <v>0</v>
      </c>
      <c r="I477" s="676">
        <v>0</v>
      </c>
      <c r="J477" s="676">
        <v>0</v>
      </c>
      <c r="K477" s="676">
        <v>0</v>
      </c>
      <c r="L477" s="676">
        <v>0</v>
      </c>
      <c r="M477" s="676">
        <v>0</v>
      </c>
      <c r="N477" s="666">
        <v>105.4</v>
      </c>
    </row>
    <row r="478" spans="1:14" ht="18.75">
      <c r="A478" s="680">
        <v>46018</v>
      </c>
      <c r="B478" s="42" t="s">
        <v>641</v>
      </c>
      <c r="C478" s="42">
        <v>104434</v>
      </c>
      <c r="D478" s="42" t="s">
        <v>722</v>
      </c>
      <c r="E478" s="675">
        <v>25</v>
      </c>
      <c r="F478" s="675">
        <v>695</v>
      </c>
      <c r="G478" s="676">
        <v>59.2</v>
      </c>
      <c r="H478" s="676">
        <v>0</v>
      </c>
      <c r="I478" s="676">
        <v>0</v>
      </c>
      <c r="J478" s="676">
        <v>0</v>
      </c>
      <c r="K478" s="676">
        <v>0</v>
      </c>
      <c r="L478" s="676">
        <v>0</v>
      </c>
      <c r="M478" s="676">
        <v>0</v>
      </c>
      <c r="N478" s="666">
        <v>59.2</v>
      </c>
    </row>
    <row r="479" spans="1:14" ht="18.75">
      <c r="A479" s="680">
        <v>46106</v>
      </c>
      <c r="B479" s="42" t="s">
        <v>641</v>
      </c>
      <c r="C479" s="42">
        <v>104349</v>
      </c>
      <c r="D479" s="42" t="s">
        <v>798</v>
      </c>
      <c r="E479" s="675">
        <v>25</v>
      </c>
      <c r="F479" s="675">
        <v>775</v>
      </c>
      <c r="G479" s="676">
        <v>162.80000000000001</v>
      </c>
      <c r="H479" s="676">
        <v>0</v>
      </c>
      <c r="I479" s="676">
        <v>0</v>
      </c>
      <c r="J479" s="676">
        <v>0</v>
      </c>
      <c r="K479" s="676">
        <v>0</v>
      </c>
      <c r="L479" s="676">
        <v>0</v>
      </c>
      <c r="M479" s="676">
        <v>0</v>
      </c>
      <c r="N479" s="666">
        <v>162.80000000000001</v>
      </c>
    </row>
    <row r="480" spans="1:14" ht="18.75">
      <c r="A480" s="680">
        <v>46106</v>
      </c>
      <c r="B480" s="42" t="s">
        <v>641</v>
      </c>
      <c r="C480" s="42">
        <v>100914</v>
      </c>
      <c r="D480" s="42" t="s">
        <v>858</v>
      </c>
      <c r="E480" s="675">
        <v>25</v>
      </c>
      <c r="F480" s="675">
        <v>900</v>
      </c>
      <c r="G480" s="676">
        <v>271</v>
      </c>
      <c r="H480" s="676">
        <v>0</v>
      </c>
      <c r="I480" s="676">
        <v>0</v>
      </c>
      <c r="J480" s="676">
        <v>0</v>
      </c>
      <c r="K480" s="676">
        <v>0</v>
      </c>
      <c r="L480" s="676">
        <v>0</v>
      </c>
      <c r="M480" s="676">
        <v>0</v>
      </c>
      <c r="N480" s="666">
        <v>271</v>
      </c>
    </row>
    <row r="481" spans="1:14" ht="18.75">
      <c r="A481" s="680">
        <v>46106</v>
      </c>
      <c r="B481" s="42" t="s">
        <v>641</v>
      </c>
      <c r="C481" s="42">
        <v>105071</v>
      </c>
      <c r="D481" s="42" t="s">
        <v>871</v>
      </c>
      <c r="E481" s="675">
        <v>25</v>
      </c>
      <c r="F481" s="675">
        <v>935</v>
      </c>
      <c r="G481" s="676">
        <v>198.9</v>
      </c>
      <c r="H481" s="676">
        <v>0</v>
      </c>
      <c r="I481" s="676">
        <v>0</v>
      </c>
      <c r="J481" s="676">
        <v>0</v>
      </c>
      <c r="K481" s="676">
        <v>0</v>
      </c>
      <c r="L481" s="676">
        <v>0</v>
      </c>
      <c r="M481" s="676">
        <v>0</v>
      </c>
      <c r="N481" s="666">
        <v>198.9</v>
      </c>
    </row>
    <row r="482" spans="1:14" ht="18.75">
      <c r="A482" s="680">
        <v>45961</v>
      </c>
      <c r="B482" s="42" t="s">
        <v>641</v>
      </c>
      <c r="C482" s="42">
        <v>104625</v>
      </c>
      <c r="D482" s="42" t="s">
        <v>686</v>
      </c>
      <c r="E482" s="675">
        <v>25</v>
      </c>
      <c r="F482" s="675">
        <v>1005</v>
      </c>
      <c r="G482" s="676">
        <v>201.4</v>
      </c>
      <c r="H482" s="676">
        <v>0</v>
      </c>
      <c r="I482" s="676">
        <v>0</v>
      </c>
      <c r="J482" s="676">
        <v>0</v>
      </c>
      <c r="K482" s="676">
        <v>0</v>
      </c>
      <c r="L482" s="676">
        <v>0</v>
      </c>
      <c r="M482" s="676">
        <v>0</v>
      </c>
      <c r="N482" s="666">
        <v>201.4</v>
      </c>
    </row>
    <row r="483" spans="1:14" ht="18.75">
      <c r="A483" s="680">
        <v>46106</v>
      </c>
      <c r="B483" s="42" t="s">
        <v>641</v>
      </c>
      <c r="C483" s="42">
        <v>104639</v>
      </c>
      <c r="D483" s="42" t="s">
        <v>643</v>
      </c>
      <c r="E483" s="675">
        <v>25</v>
      </c>
      <c r="F483" s="675">
        <v>1015</v>
      </c>
      <c r="G483" s="676">
        <v>464</v>
      </c>
      <c r="H483" s="676">
        <v>0</v>
      </c>
      <c r="I483" s="676">
        <v>0</v>
      </c>
      <c r="J483" s="676">
        <v>3200</v>
      </c>
      <c r="K483" s="676">
        <v>0</v>
      </c>
      <c r="L483" s="676">
        <v>487.6</v>
      </c>
      <c r="M483" s="676">
        <v>0</v>
      </c>
      <c r="N483" s="666">
        <v>951.6</v>
      </c>
    </row>
    <row r="484" spans="1:14" ht="18.75">
      <c r="A484" s="680">
        <v>46142</v>
      </c>
      <c r="B484" s="42" t="s">
        <v>641</v>
      </c>
      <c r="C484" s="42">
        <v>102663</v>
      </c>
      <c r="D484" s="42" t="s">
        <v>937</v>
      </c>
      <c r="E484" s="675">
        <v>25</v>
      </c>
      <c r="F484" s="675">
        <v>1090</v>
      </c>
      <c r="G484" s="676">
        <v>379.8</v>
      </c>
      <c r="H484" s="676">
        <v>0</v>
      </c>
      <c r="I484" s="676">
        <v>0</v>
      </c>
      <c r="J484" s="676">
        <v>4413.8</v>
      </c>
      <c r="K484" s="676">
        <v>0</v>
      </c>
      <c r="L484" s="676">
        <v>0</v>
      </c>
      <c r="M484" s="676">
        <v>1539.2</v>
      </c>
      <c r="N484" s="666">
        <v>1919</v>
      </c>
    </row>
    <row r="485" spans="1:14" ht="18.75">
      <c r="A485" s="680">
        <v>46121</v>
      </c>
      <c r="B485" s="42" t="s">
        <v>641</v>
      </c>
      <c r="C485" s="42">
        <v>105079</v>
      </c>
      <c r="D485" s="42" t="s">
        <v>745</v>
      </c>
      <c r="E485" s="675">
        <v>30</v>
      </c>
      <c r="F485" s="675">
        <v>675</v>
      </c>
      <c r="G485" s="676">
        <v>274</v>
      </c>
      <c r="H485" s="676">
        <v>0</v>
      </c>
      <c r="I485" s="676">
        <v>0</v>
      </c>
      <c r="J485" s="676">
        <v>0</v>
      </c>
      <c r="K485" s="676">
        <v>0</v>
      </c>
      <c r="L485" s="676">
        <v>0</v>
      </c>
      <c r="M485" s="676">
        <v>0</v>
      </c>
      <c r="N485" s="666">
        <v>274</v>
      </c>
    </row>
    <row r="486" spans="1:14" ht="18.75">
      <c r="A486" s="680">
        <v>46142</v>
      </c>
      <c r="B486" s="42" t="s">
        <v>641</v>
      </c>
      <c r="C486" s="42">
        <v>102115</v>
      </c>
      <c r="D486" s="42" t="s">
        <v>952</v>
      </c>
      <c r="E486" s="675">
        <v>30</v>
      </c>
      <c r="F486" s="675">
        <v>795</v>
      </c>
      <c r="G486" s="676">
        <v>131</v>
      </c>
      <c r="H486" s="676">
        <v>0</v>
      </c>
      <c r="I486" s="676">
        <v>0</v>
      </c>
      <c r="J486" s="676">
        <v>1269.8</v>
      </c>
      <c r="K486" s="676">
        <v>0</v>
      </c>
      <c r="L486" s="676">
        <v>0</v>
      </c>
      <c r="M486" s="676">
        <v>1430.2</v>
      </c>
      <c r="N486" s="666">
        <v>1561.2</v>
      </c>
    </row>
    <row r="487" spans="1:14" ht="18.75">
      <c r="A487" s="680">
        <v>46035</v>
      </c>
      <c r="B487" s="42" t="s">
        <v>641</v>
      </c>
      <c r="C487" s="42">
        <v>103533</v>
      </c>
      <c r="D487" s="42" t="s">
        <v>728</v>
      </c>
      <c r="E487" s="675">
        <v>30</v>
      </c>
      <c r="F487" s="675">
        <v>825</v>
      </c>
      <c r="G487" s="676">
        <v>115</v>
      </c>
      <c r="H487" s="676">
        <v>0</v>
      </c>
      <c r="I487" s="676">
        <v>0</v>
      </c>
      <c r="J487" s="676">
        <v>0</v>
      </c>
      <c r="K487" s="676">
        <v>0</v>
      </c>
      <c r="L487" s="676">
        <v>0</v>
      </c>
      <c r="M487" s="676">
        <v>0</v>
      </c>
      <c r="N487" s="666">
        <v>115</v>
      </c>
    </row>
    <row r="488" spans="1:14" ht="18.75">
      <c r="A488" s="680">
        <v>46055</v>
      </c>
      <c r="B488" s="42" t="s">
        <v>641</v>
      </c>
      <c r="C488" s="42">
        <v>102922</v>
      </c>
      <c r="D488" s="42" t="s">
        <v>742</v>
      </c>
      <c r="E488" s="675">
        <v>30</v>
      </c>
      <c r="F488" s="675">
        <v>855</v>
      </c>
      <c r="G488" s="676">
        <v>352.6</v>
      </c>
      <c r="H488" s="676">
        <v>0</v>
      </c>
      <c r="I488" s="676">
        <v>0</v>
      </c>
      <c r="J488" s="676">
        <v>0</v>
      </c>
      <c r="K488" s="676">
        <v>0</v>
      </c>
      <c r="L488" s="676">
        <v>0</v>
      </c>
      <c r="M488" s="676">
        <v>0</v>
      </c>
      <c r="N488" s="666">
        <v>352.6</v>
      </c>
    </row>
    <row r="489" spans="1:14" ht="18.75">
      <c r="A489" s="680">
        <v>46101</v>
      </c>
      <c r="B489" s="42" t="s">
        <v>641</v>
      </c>
      <c r="C489" s="42">
        <v>103555</v>
      </c>
      <c r="D489" s="42" t="s">
        <v>843</v>
      </c>
      <c r="E489" s="675">
        <v>30</v>
      </c>
      <c r="F489" s="675">
        <v>1055</v>
      </c>
      <c r="G489" s="676">
        <v>184.8</v>
      </c>
      <c r="H489" s="676">
        <v>0</v>
      </c>
      <c r="I489" s="676">
        <v>0</v>
      </c>
      <c r="J489" s="676">
        <v>0</v>
      </c>
      <c r="K489" s="676">
        <v>0</v>
      </c>
      <c r="L489" s="676">
        <v>54.2</v>
      </c>
      <c r="M489" s="676">
        <v>0</v>
      </c>
      <c r="N489" s="666">
        <v>239</v>
      </c>
    </row>
    <row r="490" spans="1:14" ht="18.75">
      <c r="A490" s="680">
        <v>46121</v>
      </c>
      <c r="B490" s="42" t="s">
        <v>641</v>
      </c>
      <c r="C490" s="42">
        <v>104173</v>
      </c>
      <c r="D490" s="42" t="s">
        <v>911</v>
      </c>
      <c r="E490" s="675">
        <v>30</v>
      </c>
      <c r="F490" s="675">
        <v>1100</v>
      </c>
      <c r="G490" s="676">
        <v>466.2</v>
      </c>
      <c r="H490" s="676">
        <v>0</v>
      </c>
      <c r="I490" s="676">
        <v>0</v>
      </c>
      <c r="J490" s="676">
        <v>0</v>
      </c>
      <c r="K490" s="676">
        <v>0</v>
      </c>
      <c r="L490" s="676">
        <v>0</v>
      </c>
      <c r="M490" s="676">
        <v>0</v>
      </c>
      <c r="N490" s="666">
        <v>466.2</v>
      </c>
    </row>
    <row r="491" spans="1:14" ht="18.75">
      <c r="A491" s="680">
        <v>46101</v>
      </c>
      <c r="B491" s="42" t="s">
        <v>641</v>
      </c>
      <c r="C491" s="42">
        <v>104497</v>
      </c>
      <c r="D491" s="42" t="s">
        <v>844</v>
      </c>
      <c r="E491" s="675">
        <v>30</v>
      </c>
      <c r="F491" s="675">
        <v>1165</v>
      </c>
      <c r="G491" s="676">
        <v>222</v>
      </c>
      <c r="H491" s="676">
        <v>0</v>
      </c>
      <c r="I491" s="676">
        <v>0</v>
      </c>
      <c r="J491" s="676">
        <v>0</v>
      </c>
      <c r="K491" s="676">
        <v>0</v>
      </c>
      <c r="L491" s="676">
        <v>0</v>
      </c>
      <c r="M491" s="676">
        <v>0</v>
      </c>
      <c r="N491" s="666">
        <v>222</v>
      </c>
    </row>
    <row r="492" spans="1:14" ht="18.75">
      <c r="A492" s="680">
        <v>46140</v>
      </c>
      <c r="B492" s="42" t="s">
        <v>641</v>
      </c>
      <c r="C492" s="42">
        <v>103322</v>
      </c>
      <c r="D492" s="42" t="s">
        <v>746</v>
      </c>
      <c r="E492" s="675">
        <v>35</v>
      </c>
      <c r="F492" s="675">
        <v>1003</v>
      </c>
      <c r="G492" s="676">
        <v>1572.6</v>
      </c>
      <c r="H492" s="676">
        <v>0</v>
      </c>
      <c r="I492" s="676">
        <v>0</v>
      </c>
      <c r="J492" s="676">
        <v>0</v>
      </c>
      <c r="K492" s="676">
        <v>0</v>
      </c>
      <c r="L492" s="676">
        <v>0</v>
      </c>
      <c r="M492" s="676">
        <v>0</v>
      </c>
      <c r="N492" s="666">
        <v>1572.6</v>
      </c>
    </row>
    <row r="493" spans="1:14" ht="18.75">
      <c r="A493" s="680">
        <v>46132</v>
      </c>
      <c r="B493" s="42" t="s">
        <v>641</v>
      </c>
      <c r="C493" s="42">
        <v>101407</v>
      </c>
      <c r="D493" s="42" t="s">
        <v>836</v>
      </c>
      <c r="E493" s="675">
        <v>37.5</v>
      </c>
      <c r="F493" s="675">
        <v>1220</v>
      </c>
      <c r="G493" s="676">
        <v>4078.4</v>
      </c>
      <c r="H493" s="676">
        <v>0</v>
      </c>
      <c r="I493" s="676">
        <v>0</v>
      </c>
      <c r="J493" s="676">
        <v>0</v>
      </c>
      <c r="K493" s="676">
        <v>201.6</v>
      </c>
      <c r="L493" s="676">
        <v>0</v>
      </c>
      <c r="M493" s="676">
        <v>0</v>
      </c>
      <c r="N493" s="666">
        <v>4078.4</v>
      </c>
    </row>
    <row r="494" spans="1:14" ht="18.75">
      <c r="A494" s="680">
        <v>46141</v>
      </c>
      <c r="B494" s="42" t="s">
        <v>641</v>
      </c>
      <c r="C494" s="42">
        <v>103515</v>
      </c>
      <c r="D494" s="42" t="s">
        <v>740</v>
      </c>
      <c r="E494" s="675">
        <v>40</v>
      </c>
      <c r="F494" s="675">
        <v>795</v>
      </c>
      <c r="G494" s="676">
        <v>1754.6</v>
      </c>
      <c r="H494" s="676">
        <v>0</v>
      </c>
      <c r="I494" s="676">
        <v>0</v>
      </c>
      <c r="J494" s="676">
        <v>0</v>
      </c>
      <c r="K494" s="676">
        <v>0</v>
      </c>
      <c r="L494" s="676">
        <v>0</v>
      </c>
      <c r="M494" s="676">
        <v>0</v>
      </c>
      <c r="N494" s="666">
        <v>1754.6</v>
      </c>
    </row>
    <row r="495" spans="1:14" ht="18.75">
      <c r="A495" s="680">
        <v>46141</v>
      </c>
      <c r="B495" s="42" t="s">
        <v>641</v>
      </c>
      <c r="C495" s="42">
        <v>103392</v>
      </c>
      <c r="D495" s="42" t="s">
        <v>866</v>
      </c>
      <c r="E495" s="675">
        <v>40</v>
      </c>
      <c r="F495" s="675">
        <v>900</v>
      </c>
      <c r="G495" s="676">
        <v>199.4</v>
      </c>
      <c r="H495" s="676">
        <v>0</v>
      </c>
      <c r="I495" s="676">
        <v>0</v>
      </c>
      <c r="J495" s="676">
        <v>0</v>
      </c>
      <c r="K495" s="676">
        <v>0</v>
      </c>
      <c r="L495" s="676">
        <v>0</v>
      </c>
      <c r="M495" s="676">
        <v>337.8</v>
      </c>
      <c r="N495" s="666">
        <v>537.20000000000005</v>
      </c>
    </row>
    <row r="496" spans="1:14" ht="18.75">
      <c r="A496" s="680">
        <v>46142</v>
      </c>
      <c r="B496" s="42" t="s">
        <v>641</v>
      </c>
      <c r="C496" s="42">
        <v>105159</v>
      </c>
      <c r="D496" s="42" t="s">
        <v>845</v>
      </c>
      <c r="E496" s="675">
        <v>40</v>
      </c>
      <c r="F496" s="675">
        <v>975</v>
      </c>
      <c r="G496" s="676">
        <v>163</v>
      </c>
      <c r="H496" s="676">
        <v>0</v>
      </c>
      <c r="I496" s="676">
        <v>0</v>
      </c>
      <c r="J496" s="676">
        <v>0</v>
      </c>
      <c r="K496" s="676">
        <v>0</v>
      </c>
      <c r="L496" s="676">
        <v>0</v>
      </c>
      <c r="M496" s="676">
        <v>1759.8</v>
      </c>
      <c r="N496" s="666">
        <v>1922.8</v>
      </c>
    </row>
    <row r="497" spans="1:14" ht="18.75">
      <c r="A497" s="680">
        <v>46133</v>
      </c>
      <c r="B497" s="42" t="s">
        <v>641</v>
      </c>
      <c r="C497" s="42">
        <v>104462</v>
      </c>
      <c r="D497" s="42" t="s">
        <v>848</v>
      </c>
      <c r="E497" s="675">
        <v>50</v>
      </c>
      <c r="F497" s="675">
        <v>675</v>
      </c>
      <c r="G497" s="676">
        <v>4679.2</v>
      </c>
      <c r="H497" s="676">
        <v>0</v>
      </c>
      <c r="I497" s="676">
        <v>0</v>
      </c>
      <c r="J497" s="676">
        <v>0</v>
      </c>
      <c r="K497" s="676">
        <v>0</v>
      </c>
      <c r="L497" s="676">
        <v>600.6</v>
      </c>
      <c r="M497" s="676">
        <v>0</v>
      </c>
      <c r="N497" s="666">
        <v>5279.8</v>
      </c>
    </row>
    <row r="498" spans="1:14" ht="18.75">
      <c r="A498" s="680">
        <v>46141</v>
      </c>
      <c r="B498" s="42" t="s">
        <v>641</v>
      </c>
      <c r="C498" s="42">
        <v>103388</v>
      </c>
      <c r="D498" s="42" t="s">
        <v>912</v>
      </c>
      <c r="E498" s="675">
        <v>50</v>
      </c>
      <c r="F498" s="675">
        <v>805</v>
      </c>
      <c r="G498" s="676">
        <v>742.4</v>
      </c>
      <c r="H498" s="676">
        <v>0</v>
      </c>
      <c r="I498" s="676">
        <v>0</v>
      </c>
      <c r="J498" s="676">
        <v>1500</v>
      </c>
      <c r="K498" s="676">
        <v>0</v>
      </c>
      <c r="L498" s="676">
        <v>0</v>
      </c>
      <c r="M498" s="676">
        <v>0</v>
      </c>
      <c r="N498" s="666">
        <v>742.4</v>
      </c>
    </row>
    <row r="499" spans="1:14" ht="18.75">
      <c r="A499" s="680">
        <v>46092</v>
      </c>
      <c r="B499" s="42" t="s">
        <v>641</v>
      </c>
      <c r="C499" s="42">
        <v>103969</v>
      </c>
      <c r="D499" s="42" t="s">
        <v>823</v>
      </c>
      <c r="E499" s="675">
        <v>55</v>
      </c>
      <c r="F499" s="675">
        <v>675</v>
      </c>
      <c r="G499" s="676">
        <v>125</v>
      </c>
      <c r="H499" s="676">
        <v>0</v>
      </c>
      <c r="I499" s="676">
        <v>0</v>
      </c>
      <c r="J499" s="676">
        <v>0</v>
      </c>
      <c r="K499" s="676">
        <v>0</v>
      </c>
      <c r="L499" s="676">
        <v>0</v>
      </c>
      <c r="M499" s="676">
        <v>0</v>
      </c>
      <c r="N499" s="666">
        <v>125</v>
      </c>
    </row>
    <row r="500" spans="1:14" ht="18.75">
      <c r="A500" s="680">
        <v>46106</v>
      </c>
      <c r="B500" s="42" t="s">
        <v>641</v>
      </c>
      <c r="C500" s="42">
        <v>103934</v>
      </c>
      <c r="D500" s="42" t="s">
        <v>867</v>
      </c>
      <c r="E500" s="675">
        <v>55</v>
      </c>
      <c r="F500" s="675">
        <v>745</v>
      </c>
      <c r="G500" s="676">
        <v>216.8</v>
      </c>
      <c r="H500" s="676">
        <v>0</v>
      </c>
      <c r="I500" s="676">
        <v>0</v>
      </c>
      <c r="J500" s="676">
        <v>0</v>
      </c>
      <c r="K500" s="676">
        <v>0</v>
      </c>
      <c r="L500" s="676">
        <v>0</v>
      </c>
      <c r="M500" s="676">
        <v>0</v>
      </c>
      <c r="N500" s="666">
        <v>216.8</v>
      </c>
    </row>
    <row r="501" spans="1:14" ht="18.75">
      <c r="A501" s="680">
        <v>46104</v>
      </c>
      <c r="B501" s="42" t="s">
        <v>641</v>
      </c>
      <c r="C501" s="42">
        <v>103804</v>
      </c>
      <c r="D501" s="42" t="s">
        <v>851</v>
      </c>
      <c r="E501" s="675">
        <v>55</v>
      </c>
      <c r="F501" s="675">
        <v>795</v>
      </c>
      <c r="G501" s="676">
        <v>172</v>
      </c>
      <c r="H501" s="676">
        <v>0</v>
      </c>
      <c r="I501" s="676">
        <v>0</v>
      </c>
      <c r="J501" s="676">
        <v>0</v>
      </c>
      <c r="K501" s="676">
        <v>0</v>
      </c>
      <c r="L501" s="676">
        <v>0</v>
      </c>
      <c r="M501" s="676">
        <v>0</v>
      </c>
      <c r="N501" s="666">
        <v>172</v>
      </c>
    </row>
    <row r="502" spans="1:14" ht="18.75">
      <c r="A502" s="680">
        <v>46105</v>
      </c>
      <c r="B502" s="42" t="s">
        <v>641</v>
      </c>
      <c r="C502" s="42">
        <v>100106</v>
      </c>
      <c r="D502" s="42" t="s">
        <v>852</v>
      </c>
      <c r="E502" s="675">
        <v>55</v>
      </c>
      <c r="F502" s="675">
        <v>855</v>
      </c>
      <c r="G502" s="676">
        <v>1150.4000000000001</v>
      </c>
      <c r="H502" s="676">
        <v>0</v>
      </c>
      <c r="I502" s="676">
        <v>0</v>
      </c>
      <c r="J502" s="676">
        <v>0</v>
      </c>
      <c r="K502" s="676">
        <v>0</v>
      </c>
      <c r="L502" s="676">
        <v>0</v>
      </c>
      <c r="M502" s="676">
        <v>0</v>
      </c>
      <c r="N502" s="666">
        <v>1150.4000000000001</v>
      </c>
    </row>
    <row r="503" spans="1:14" ht="18.75">
      <c r="A503" s="680">
        <v>45995</v>
      </c>
      <c r="B503" s="42" t="s">
        <v>641</v>
      </c>
      <c r="C503" s="42">
        <v>104493</v>
      </c>
      <c r="D503" s="42" t="s">
        <v>799</v>
      </c>
      <c r="E503" s="675">
        <v>55</v>
      </c>
      <c r="F503" s="675">
        <v>855</v>
      </c>
      <c r="G503" s="676">
        <v>228</v>
      </c>
      <c r="H503" s="676">
        <v>0</v>
      </c>
      <c r="I503" s="676">
        <v>0</v>
      </c>
      <c r="J503" s="676">
        <v>0</v>
      </c>
      <c r="K503" s="676">
        <v>0</v>
      </c>
      <c r="L503" s="676">
        <v>0</v>
      </c>
      <c r="M503" s="676">
        <v>0</v>
      </c>
      <c r="N503" s="666">
        <v>228</v>
      </c>
    </row>
    <row r="504" spans="1:14" ht="18.75">
      <c r="A504" s="680">
        <v>46035</v>
      </c>
      <c r="B504" s="42" t="s">
        <v>641</v>
      </c>
      <c r="C504" s="42">
        <v>102802</v>
      </c>
      <c r="D504" s="42" t="s">
        <v>827</v>
      </c>
      <c r="E504" s="675">
        <v>55</v>
      </c>
      <c r="F504" s="675">
        <v>915</v>
      </c>
      <c r="G504" s="676">
        <v>121</v>
      </c>
      <c r="H504" s="676">
        <v>0</v>
      </c>
      <c r="I504" s="676">
        <v>0</v>
      </c>
      <c r="J504" s="676">
        <v>0</v>
      </c>
      <c r="K504" s="676">
        <v>0</v>
      </c>
      <c r="L504" s="676">
        <v>0</v>
      </c>
      <c r="M504" s="676">
        <v>0</v>
      </c>
      <c r="N504" s="666">
        <v>121</v>
      </c>
    </row>
    <row r="505" spans="1:14" ht="18.75">
      <c r="A505" s="680">
        <v>46107</v>
      </c>
      <c r="B505" s="42" t="s">
        <v>641</v>
      </c>
      <c r="C505" s="42">
        <v>103113</v>
      </c>
      <c r="D505" s="42" t="s">
        <v>868</v>
      </c>
      <c r="E505" s="675">
        <v>60</v>
      </c>
      <c r="F505" s="675">
        <v>675</v>
      </c>
      <c r="G505" s="676">
        <v>67</v>
      </c>
      <c r="H505" s="676">
        <v>0</v>
      </c>
      <c r="I505" s="676">
        <v>0</v>
      </c>
      <c r="J505" s="676">
        <v>0</v>
      </c>
      <c r="K505" s="676">
        <v>0</v>
      </c>
      <c r="L505" s="676">
        <v>0</v>
      </c>
      <c r="M505" s="676">
        <v>0</v>
      </c>
      <c r="N505" s="666">
        <v>67</v>
      </c>
    </row>
    <row r="506" spans="1:14" ht="18.75">
      <c r="A506" s="680">
        <v>46092</v>
      </c>
      <c r="B506" s="42" t="s">
        <v>641</v>
      </c>
      <c r="C506" s="42">
        <v>104475</v>
      </c>
      <c r="D506" s="42" t="s">
        <v>647</v>
      </c>
      <c r="E506" s="675">
        <v>60</v>
      </c>
      <c r="F506" s="675">
        <v>675</v>
      </c>
      <c r="G506" s="676">
        <v>142</v>
      </c>
      <c r="H506" s="676">
        <v>0</v>
      </c>
      <c r="I506" s="676">
        <v>0</v>
      </c>
      <c r="J506" s="676">
        <v>0</v>
      </c>
      <c r="K506" s="676">
        <v>0</v>
      </c>
      <c r="L506" s="676">
        <v>0</v>
      </c>
      <c r="M506" s="676">
        <v>0</v>
      </c>
      <c r="N506" s="666">
        <v>142</v>
      </c>
    </row>
    <row r="507" spans="1:14" ht="18.75">
      <c r="A507" s="680">
        <v>46122</v>
      </c>
      <c r="B507" s="42" t="s">
        <v>641</v>
      </c>
      <c r="C507" s="42">
        <v>100718</v>
      </c>
      <c r="D507" s="42" t="s">
        <v>743</v>
      </c>
      <c r="E507" s="675">
        <v>60</v>
      </c>
      <c r="F507" s="675">
        <v>695</v>
      </c>
      <c r="G507" s="676">
        <v>669.2</v>
      </c>
      <c r="H507" s="676">
        <v>0</v>
      </c>
      <c r="I507" s="676">
        <v>0</v>
      </c>
      <c r="J507" s="676">
        <v>0</v>
      </c>
      <c r="K507" s="676">
        <v>0</v>
      </c>
      <c r="L507" s="676">
        <v>0</v>
      </c>
      <c r="M507" s="676">
        <v>10</v>
      </c>
      <c r="N507" s="666">
        <v>679.2</v>
      </c>
    </row>
    <row r="508" spans="1:14" ht="18.75">
      <c r="A508" s="680">
        <v>46082</v>
      </c>
      <c r="B508" s="42" t="s">
        <v>641</v>
      </c>
      <c r="C508" s="42">
        <v>100792</v>
      </c>
      <c r="D508" s="42" t="s">
        <v>933</v>
      </c>
      <c r="E508" s="675">
        <v>60</v>
      </c>
      <c r="F508" s="675">
        <v>795</v>
      </c>
      <c r="G508" s="676">
        <v>351.9</v>
      </c>
      <c r="H508" s="676">
        <v>0</v>
      </c>
      <c r="I508" s="676">
        <v>0</v>
      </c>
      <c r="J508" s="676">
        <v>0</v>
      </c>
      <c r="K508" s="676">
        <v>0</v>
      </c>
      <c r="L508" s="676">
        <v>0</v>
      </c>
      <c r="M508" s="676">
        <v>0</v>
      </c>
      <c r="N508" s="666">
        <v>351.9</v>
      </c>
    </row>
    <row r="509" spans="1:14" ht="18.75">
      <c r="A509" s="680">
        <v>46141</v>
      </c>
      <c r="B509" s="42" t="s">
        <v>641</v>
      </c>
      <c r="C509" s="42">
        <v>103439</v>
      </c>
      <c r="D509" s="42" t="s">
        <v>965</v>
      </c>
      <c r="E509" s="675">
        <v>60</v>
      </c>
      <c r="F509" s="675">
        <v>865</v>
      </c>
      <c r="G509" s="676">
        <v>1220.5999999999999</v>
      </c>
      <c r="H509" s="676">
        <v>0</v>
      </c>
      <c r="I509" s="676">
        <v>0</v>
      </c>
      <c r="J509" s="676">
        <v>0</v>
      </c>
      <c r="K509" s="676">
        <v>0</v>
      </c>
      <c r="L509" s="676">
        <v>0</v>
      </c>
      <c r="M509" s="676">
        <v>0</v>
      </c>
      <c r="N509" s="666">
        <v>1220.5999999999999</v>
      </c>
    </row>
    <row r="510" spans="1:14" ht="18.75">
      <c r="A510" s="680">
        <v>46137</v>
      </c>
      <c r="B510" s="42" t="s">
        <v>641</v>
      </c>
      <c r="C510" s="42">
        <v>100623</v>
      </c>
      <c r="D510" s="42" t="s">
        <v>987</v>
      </c>
      <c r="E510" s="675">
        <v>60</v>
      </c>
      <c r="F510" s="675">
        <v>985</v>
      </c>
      <c r="G510" s="676">
        <v>133.80000000000001</v>
      </c>
      <c r="H510" s="676">
        <v>0</v>
      </c>
      <c r="I510" s="676">
        <v>0</v>
      </c>
      <c r="J510" s="676">
        <v>0</v>
      </c>
      <c r="K510" s="676">
        <v>0</v>
      </c>
      <c r="L510" s="676">
        <v>0</v>
      </c>
      <c r="M510" s="676">
        <v>0</v>
      </c>
      <c r="N510" s="666">
        <v>133.80000000000001</v>
      </c>
    </row>
    <row r="511" spans="1:14" ht="18.75">
      <c r="A511" s="680">
        <v>46102</v>
      </c>
      <c r="B511" s="42" t="s">
        <v>641</v>
      </c>
      <c r="C511" s="42">
        <v>102707</v>
      </c>
      <c r="D511" s="42" t="s">
        <v>716</v>
      </c>
      <c r="E511" s="675">
        <v>65</v>
      </c>
      <c r="F511" s="675">
        <v>915</v>
      </c>
      <c r="G511" s="676">
        <v>304.8</v>
      </c>
      <c r="H511" s="676">
        <v>0</v>
      </c>
      <c r="I511" s="676">
        <v>0</v>
      </c>
      <c r="J511" s="676">
        <v>0</v>
      </c>
      <c r="K511" s="676">
        <v>0</v>
      </c>
      <c r="L511" s="676">
        <v>0</v>
      </c>
      <c r="M511" s="676">
        <v>0</v>
      </c>
      <c r="N511" s="666">
        <v>304.8</v>
      </c>
    </row>
    <row r="512" spans="1:14" ht="18.75">
      <c r="A512" s="680">
        <v>46137</v>
      </c>
      <c r="B512" s="42" t="s">
        <v>641</v>
      </c>
      <c r="C512" s="42">
        <v>100632</v>
      </c>
      <c r="D512" s="42" t="s">
        <v>970</v>
      </c>
      <c r="E512" s="675">
        <v>65</v>
      </c>
      <c r="F512" s="675">
        <v>985</v>
      </c>
      <c r="G512" s="676">
        <v>696</v>
      </c>
      <c r="H512" s="676">
        <v>0</v>
      </c>
      <c r="I512" s="676">
        <v>0</v>
      </c>
      <c r="J512" s="676">
        <v>0</v>
      </c>
      <c r="K512" s="676">
        <v>0</v>
      </c>
      <c r="L512" s="676">
        <v>10</v>
      </c>
      <c r="M512" s="676">
        <v>0</v>
      </c>
      <c r="N512" s="666">
        <v>706</v>
      </c>
    </row>
    <row r="513" spans="1:14" ht="18.75">
      <c r="A513" s="680">
        <v>46105</v>
      </c>
      <c r="B513" s="42" t="s">
        <v>641</v>
      </c>
      <c r="C513" s="42">
        <v>103802</v>
      </c>
      <c r="D513" s="42" t="s">
        <v>854</v>
      </c>
      <c r="E513" s="675">
        <v>65</v>
      </c>
      <c r="F513" s="675">
        <v>1035</v>
      </c>
      <c r="G513" s="676">
        <v>245</v>
      </c>
      <c r="H513" s="676">
        <v>0</v>
      </c>
      <c r="I513" s="676">
        <v>0</v>
      </c>
      <c r="J513" s="676">
        <v>0</v>
      </c>
      <c r="K513" s="676">
        <v>0</v>
      </c>
      <c r="L513" s="676">
        <v>0</v>
      </c>
      <c r="M513" s="676">
        <v>0</v>
      </c>
      <c r="N513" s="666">
        <v>245</v>
      </c>
    </row>
    <row r="514" spans="1:14" ht="18.75">
      <c r="A514" s="680">
        <v>46107</v>
      </c>
      <c r="B514" s="42" t="s">
        <v>641</v>
      </c>
      <c r="C514" s="42">
        <v>101481</v>
      </c>
      <c r="D514" s="42" t="s">
        <v>876</v>
      </c>
      <c r="E514" s="675">
        <v>65</v>
      </c>
      <c r="F514" s="675">
        <v>1065</v>
      </c>
      <c r="G514" s="676">
        <v>241</v>
      </c>
      <c r="H514" s="676">
        <v>0</v>
      </c>
      <c r="I514" s="676">
        <v>0</v>
      </c>
      <c r="J514" s="676">
        <v>0</v>
      </c>
      <c r="K514" s="676">
        <v>0</v>
      </c>
      <c r="L514" s="676">
        <v>0</v>
      </c>
      <c r="M514" s="676">
        <v>0</v>
      </c>
      <c r="N514" s="666">
        <v>241</v>
      </c>
    </row>
    <row r="515" spans="1:14" ht="18.75">
      <c r="A515" s="680">
        <v>46106</v>
      </c>
      <c r="B515" s="42" t="s">
        <v>641</v>
      </c>
      <c r="C515" s="42">
        <v>101066</v>
      </c>
      <c r="D515" s="42" t="s">
        <v>646</v>
      </c>
      <c r="E515" s="675">
        <v>75</v>
      </c>
      <c r="F515" s="675">
        <v>715</v>
      </c>
      <c r="G515" s="676">
        <v>63.6</v>
      </c>
      <c r="H515" s="676">
        <v>0</v>
      </c>
      <c r="I515" s="676">
        <v>0</v>
      </c>
      <c r="J515" s="676">
        <v>1100</v>
      </c>
      <c r="K515" s="676">
        <v>0</v>
      </c>
      <c r="L515" s="676">
        <v>0</v>
      </c>
      <c r="M515" s="676">
        <v>0</v>
      </c>
      <c r="N515" s="666">
        <v>63.6</v>
      </c>
    </row>
    <row r="516" spans="1:14" ht="18.75">
      <c r="A516" s="680">
        <v>46120</v>
      </c>
      <c r="B516" s="42" t="s">
        <v>641</v>
      </c>
      <c r="C516" s="42">
        <v>104207</v>
      </c>
      <c r="D516" s="42" t="s">
        <v>859</v>
      </c>
      <c r="E516" s="675">
        <v>80</v>
      </c>
      <c r="F516" s="675">
        <v>765</v>
      </c>
      <c r="G516" s="676">
        <v>2954.4</v>
      </c>
      <c r="H516" s="676">
        <v>0</v>
      </c>
      <c r="I516" s="676">
        <v>0</v>
      </c>
      <c r="J516" s="676">
        <v>3700</v>
      </c>
      <c r="K516" s="676">
        <v>0</v>
      </c>
      <c r="L516" s="676">
        <v>0</v>
      </c>
      <c r="M516" s="676">
        <v>0</v>
      </c>
      <c r="N516" s="666">
        <v>2954.4</v>
      </c>
    </row>
    <row r="517" spans="1:14" ht="18.75">
      <c r="A517" s="680">
        <v>45995</v>
      </c>
      <c r="B517" s="42" t="s">
        <v>641</v>
      </c>
      <c r="C517" s="42">
        <v>103329</v>
      </c>
      <c r="D517" s="42" t="s">
        <v>642</v>
      </c>
      <c r="E517" s="675">
        <v>80</v>
      </c>
      <c r="F517" s="675">
        <v>815</v>
      </c>
      <c r="G517" s="676">
        <v>855.2</v>
      </c>
      <c r="H517" s="676">
        <v>0</v>
      </c>
      <c r="I517" s="676">
        <v>0</v>
      </c>
      <c r="J517" s="676">
        <v>0</v>
      </c>
      <c r="K517" s="676">
        <v>0</v>
      </c>
      <c r="L517" s="676">
        <v>0</v>
      </c>
      <c r="M517" s="676">
        <v>0</v>
      </c>
      <c r="N517" s="666">
        <v>855.2</v>
      </c>
    </row>
    <row r="518" spans="1:14" ht="18.75">
      <c r="A518" s="680">
        <v>46086</v>
      </c>
      <c r="B518" s="42" t="s">
        <v>641</v>
      </c>
      <c r="C518" s="42">
        <v>102717</v>
      </c>
      <c r="D518" s="42" t="s">
        <v>979</v>
      </c>
      <c r="E518" s="675">
        <v>85</v>
      </c>
      <c r="F518" s="675">
        <v>675</v>
      </c>
      <c r="G518" s="676">
        <v>0</v>
      </c>
      <c r="H518" s="676">
        <v>0</v>
      </c>
      <c r="I518" s="676">
        <v>0</v>
      </c>
      <c r="J518" s="676">
        <v>150</v>
      </c>
      <c r="K518" s="676">
        <v>150</v>
      </c>
      <c r="L518" s="676">
        <v>0</v>
      </c>
      <c r="M518" s="676">
        <v>0</v>
      </c>
      <c r="N518" s="666">
        <v>0</v>
      </c>
    </row>
    <row r="519" spans="1:14" ht="18.75">
      <c r="A519" s="680">
        <v>46133</v>
      </c>
      <c r="B519" s="42" t="s">
        <v>641</v>
      </c>
      <c r="C519" s="42">
        <v>100113</v>
      </c>
      <c r="D519" s="42" t="s">
        <v>966</v>
      </c>
      <c r="E519" s="675">
        <v>85</v>
      </c>
      <c r="F519" s="675">
        <v>680</v>
      </c>
      <c r="G519" s="676">
        <v>255</v>
      </c>
      <c r="H519" s="676">
        <v>0</v>
      </c>
      <c r="I519" s="676">
        <v>0</v>
      </c>
      <c r="J519" s="676">
        <v>0</v>
      </c>
      <c r="K519" s="676">
        <v>0</v>
      </c>
      <c r="L519" s="676">
        <v>0</v>
      </c>
      <c r="M519" s="676">
        <v>0</v>
      </c>
      <c r="N519" s="666">
        <v>255</v>
      </c>
    </row>
    <row r="520" spans="1:14" ht="18.75">
      <c r="A520" s="680">
        <v>46000</v>
      </c>
      <c r="B520" s="42" t="s">
        <v>641</v>
      </c>
      <c r="C520" s="42">
        <v>105070</v>
      </c>
      <c r="D520" s="42" t="s">
        <v>709</v>
      </c>
      <c r="E520" s="675">
        <v>90</v>
      </c>
      <c r="F520" s="675">
        <v>685</v>
      </c>
      <c r="G520" s="676">
        <v>781.9</v>
      </c>
      <c r="H520" s="676">
        <v>0</v>
      </c>
      <c r="I520" s="676">
        <v>0</v>
      </c>
      <c r="J520" s="676">
        <v>0</v>
      </c>
      <c r="K520" s="676">
        <v>0</v>
      </c>
      <c r="L520" s="676">
        <v>0</v>
      </c>
      <c r="M520" s="676">
        <v>0</v>
      </c>
      <c r="N520" s="666">
        <v>781.9</v>
      </c>
    </row>
    <row r="521" spans="1:14" ht="18.75">
      <c r="A521" s="680">
        <v>46141</v>
      </c>
      <c r="B521" s="42" t="s">
        <v>641</v>
      </c>
      <c r="C521" s="42">
        <v>103387</v>
      </c>
      <c r="D521" s="42" t="s">
        <v>988</v>
      </c>
      <c r="E521" s="675">
        <v>90</v>
      </c>
      <c r="F521" s="675">
        <v>865</v>
      </c>
      <c r="G521" s="676">
        <v>1075.5999999999999</v>
      </c>
      <c r="H521" s="676">
        <v>0</v>
      </c>
      <c r="I521" s="676">
        <v>0</v>
      </c>
      <c r="J521" s="676">
        <v>0</v>
      </c>
      <c r="K521" s="676">
        <v>0</v>
      </c>
      <c r="L521" s="676">
        <v>0</v>
      </c>
      <c r="M521" s="676">
        <v>0</v>
      </c>
      <c r="N521" s="666">
        <v>1075.5999999999999</v>
      </c>
    </row>
    <row r="522" spans="1:14" ht="18.75">
      <c r="A522" s="680">
        <v>46082</v>
      </c>
      <c r="B522" s="42" t="s">
        <v>641</v>
      </c>
      <c r="C522" s="42">
        <v>100116</v>
      </c>
      <c r="D522" s="42" t="s">
        <v>938</v>
      </c>
      <c r="E522" s="675">
        <v>95</v>
      </c>
      <c r="F522" s="675">
        <v>685</v>
      </c>
      <c r="G522" s="676">
        <v>157</v>
      </c>
      <c r="H522" s="676">
        <v>0</v>
      </c>
      <c r="I522" s="676">
        <v>0</v>
      </c>
      <c r="J522" s="676">
        <v>0</v>
      </c>
      <c r="K522" s="676">
        <v>0</v>
      </c>
      <c r="L522" s="676">
        <v>0</v>
      </c>
      <c r="M522" s="676">
        <v>0</v>
      </c>
      <c r="N522" s="666">
        <v>157</v>
      </c>
    </row>
    <row r="523" spans="1:14" ht="18.75">
      <c r="A523" s="680">
        <v>46104</v>
      </c>
      <c r="B523" s="42" t="s">
        <v>641</v>
      </c>
      <c r="C523" s="42">
        <v>100117</v>
      </c>
      <c r="D523" s="42" t="s">
        <v>860</v>
      </c>
      <c r="E523" s="675">
        <v>95</v>
      </c>
      <c r="F523" s="675">
        <v>815</v>
      </c>
      <c r="G523" s="676">
        <v>84.6</v>
      </c>
      <c r="H523" s="676">
        <v>0</v>
      </c>
      <c r="I523" s="676">
        <v>0</v>
      </c>
      <c r="J523" s="676">
        <v>0</v>
      </c>
      <c r="K523" s="676">
        <v>0</v>
      </c>
      <c r="L523" s="676">
        <v>0</v>
      </c>
      <c r="M523" s="676">
        <v>10</v>
      </c>
      <c r="N523" s="666">
        <v>94.6</v>
      </c>
    </row>
    <row r="524" spans="1:14" ht="18.75">
      <c r="A524" s="680">
        <v>45784</v>
      </c>
      <c r="B524" s="42" t="s">
        <v>641</v>
      </c>
      <c r="C524" s="42">
        <v>104284</v>
      </c>
      <c r="D524" s="42" t="s">
        <v>980</v>
      </c>
      <c r="E524" s="675">
        <v>95</v>
      </c>
      <c r="F524" s="675">
        <v>835</v>
      </c>
      <c r="G524" s="676">
        <v>0</v>
      </c>
      <c r="H524" s="676">
        <v>0</v>
      </c>
      <c r="I524" s="676">
        <v>0</v>
      </c>
      <c r="J524" s="676">
        <v>900</v>
      </c>
      <c r="K524" s="676">
        <v>900</v>
      </c>
      <c r="L524" s="676">
        <v>0</v>
      </c>
      <c r="M524" s="676">
        <v>0</v>
      </c>
      <c r="N524" s="666">
        <v>0</v>
      </c>
    </row>
    <row r="525" spans="1:14" ht="18.75">
      <c r="A525" s="680">
        <v>46108</v>
      </c>
      <c r="B525" s="42" t="s">
        <v>641</v>
      </c>
      <c r="C525" s="42">
        <v>105115</v>
      </c>
      <c r="D525" s="42" t="s">
        <v>872</v>
      </c>
      <c r="E525" s="675">
        <v>95</v>
      </c>
      <c r="F525" s="675">
        <v>1215</v>
      </c>
      <c r="G525" s="676">
        <v>393</v>
      </c>
      <c r="H525" s="676">
        <v>0</v>
      </c>
      <c r="I525" s="676">
        <v>0</v>
      </c>
      <c r="J525" s="676">
        <v>0</v>
      </c>
      <c r="K525" s="676">
        <v>0</v>
      </c>
      <c r="L525" s="676">
        <v>0</v>
      </c>
      <c r="M525" s="676">
        <v>0</v>
      </c>
      <c r="N525" s="666">
        <v>393</v>
      </c>
    </row>
    <row r="526" spans="1:14" ht="18.75">
      <c r="A526" s="680">
        <v>46068</v>
      </c>
      <c r="B526" s="42" t="s">
        <v>641</v>
      </c>
      <c r="C526" s="42">
        <v>105160</v>
      </c>
      <c r="D526" s="42" t="s">
        <v>764</v>
      </c>
      <c r="E526" s="675">
        <v>100</v>
      </c>
      <c r="F526" s="675">
        <v>675</v>
      </c>
      <c r="G526" s="676">
        <v>353.8</v>
      </c>
      <c r="H526" s="676">
        <v>0</v>
      </c>
      <c r="I526" s="676">
        <v>0</v>
      </c>
      <c r="J526" s="676">
        <v>0</v>
      </c>
      <c r="K526" s="676">
        <v>0</v>
      </c>
      <c r="L526" s="676">
        <v>0</v>
      </c>
      <c r="M526" s="676">
        <v>0</v>
      </c>
      <c r="N526" s="666">
        <v>353.8</v>
      </c>
    </row>
    <row r="527" spans="1:14" ht="18.75">
      <c r="A527" s="680">
        <v>46000</v>
      </c>
      <c r="B527" s="42" t="s">
        <v>641</v>
      </c>
      <c r="C527" s="42">
        <v>104884</v>
      </c>
      <c r="D527" s="42" t="s">
        <v>644</v>
      </c>
      <c r="E527" s="675">
        <v>105</v>
      </c>
      <c r="F527" s="675">
        <v>660</v>
      </c>
      <c r="G527" s="676">
        <v>725.6</v>
      </c>
      <c r="H527" s="676">
        <v>0</v>
      </c>
      <c r="I527" s="676">
        <v>0</v>
      </c>
      <c r="J527" s="676">
        <v>0</v>
      </c>
      <c r="K527" s="676">
        <v>0</v>
      </c>
      <c r="L527" s="676">
        <v>0</v>
      </c>
      <c r="M527" s="676">
        <v>0</v>
      </c>
      <c r="N527" s="666">
        <v>725.6</v>
      </c>
    </row>
    <row r="528" spans="1:14" ht="18.75">
      <c r="A528" s="680">
        <v>45776</v>
      </c>
      <c r="B528" s="42" t="s">
        <v>641</v>
      </c>
      <c r="C528" s="42">
        <v>104775</v>
      </c>
      <c r="D528" s="42" t="s">
        <v>645</v>
      </c>
      <c r="E528" s="675">
        <v>105</v>
      </c>
      <c r="F528" s="675">
        <v>985</v>
      </c>
      <c r="G528" s="676">
        <v>13.8</v>
      </c>
      <c r="H528" s="676">
        <v>0</v>
      </c>
      <c r="I528" s="676">
        <v>0</v>
      </c>
      <c r="J528" s="676">
        <v>0</v>
      </c>
      <c r="K528" s="676">
        <v>0</v>
      </c>
      <c r="L528" s="676">
        <v>9.4</v>
      </c>
      <c r="M528" s="676">
        <v>0</v>
      </c>
      <c r="N528" s="666">
        <v>23.2</v>
      </c>
    </row>
    <row r="529" spans="1:14" ht="18.75">
      <c r="A529" s="680">
        <v>46111</v>
      </c>
      <c r="B529" s="42" t="s">
        <v>641</v>
      </c>
      <c r="C529" s="42">
        <v>104795</v>
      </c>
      <c r="D529" s="42" t="s">
        <v>881</v>
      </c>
      <c r="E529" s="675">
        <v>105</v>
      </c>
      <c r="F529" s="675">
        <v>985</v>
      </c>
      <c r="G529" s="676">
        <v>5088.8999999999996</v>
      </c>
      <c r="H529" s="676">
        <v>0</v>
      </c>
      <c r="I529" s="676">
        <v>0</v>
      </c>
      <c r="J529" s="676">
        <v>0</v>
      </c>
      <c r="K529" s="676">
        <v>0</v>
      </c>
      <c r="L529" s="676">
        <v>60</v>
      </c>
      <c r="M529" s="676">
        <v>0</v>
      </c>
      <c r="N529" s="666">
        <v>5148.8999999999996</v>
      </c>
    </row>
    <row r="530" spans="1:14" ht="18.75">
      <c r="A530" s="680">
        <v>46082</v>
      </c>
      <c r="B530" s="42" t="s">
        <v>641</v>
      </c>
      <c r="C530" s="42">
        <v>100118</v>
      </c>
      <c r="D530" s="42" t="s">
        <v>660</v>
      </c>
      <c r="E530" s="675">
        <v>110</v>
      </c>
      <c r="F530" s="675">
        <v>660</v>
      </c>
      <c r="G530" s="676">
        <v>968.2</v>
      </c>
      <c r="H530" s="676">
        <v>0</v>
      </c>
      <c r="I530" s="676">
        <v>0</v>
      </c>
      <c r="J530" s="676">
        <v>0</v>
      </c>
      <c r="K530" s="676">
        <v>0</v>
      </c>
      <c r="L530" s="676">
        <v>0</v>
      </c>
      <c r="M530" s="676">
        <v>0</v>
      </c>
      <c r="N530" s="666">
        <v>968.2</v>
      </c>
    </row>
    <row r="531" spans="1:14" ht="18.75">
      <c r="A531" s="680">
        <v>46120</v>
      </c>
      <c r="B531" s="42" t="s">
        <v>641</v>
      </c>
      <c r="C531" s="42">
        <v>102514</v>
      </c>
      <c r="D531" s="42" t="s">
        <v>920</v>
      </c>
      <c r="E531" s="675">
        <v>110</v>
      </c>
      <c r="F531" s="675">
        <v>675</v>
      </c>
      <c r="G531" s="676">
        <v>94.6</v>
      </c>
      <c r="H531" s="676">
        <v>0</v>
      </c>
      <c r="I531" s="676">
        <v>0</v>
      </c>
      <c r="J531" s="676">
        <v>0</v>
      </c>
      <c r="K531" s="676">
        <v>0</v>
      </c>
      <c r="L531" s="676">
        <v>0</v>
      </c>
      <c r="M531" s="676">
        <v>0</v>
      </c>
      <c r="N531" s="666">
        <v>94.6</v>
      </c>
    </row>
    <row r="532" spans="1:14" ht="18.75">
      <c r="A532" s="681">
        <v>46107</v>
      </c>
      <c r="B532" s="668" t="s">
        <v>641</v>
      </c>
      <c r="C532" s="668">
        <v>100119</v>
      </c>
      <c r="D532" s="668" t="s">
        <v>873</v>
      </c>
      <c r="E532" s="678">
        <v>110</v>
      </c>
      <c r="F532" s="678">
        <v>985</v>
      </c>
      <c r="G532" s="679">
        <v>495.9</v>
      </c>
      <c r="H532" s="679">
        <v>0</v>
      </c>
      <c r="I532" s="679">
        <v>0</v>
      </c>
      <c r="J532" s="679">
        <v>0</v>
      </c>
      <c r="K532" s="679">
        <v>0</v>
      </c>
      <c r="L532" s="679">
        <v>0</v>
      </c>
      <c r="M532" s="679">
        <v>0</v>
      </c>
      <c r="N532" s="667">
        <v>495.9</v>
      </c>
    </row>
    <row r="533" spans="1:14" ht="12.75"/>
    <row r="534" spans="1:14" ht="12.75"/>
    <row r="535" spans="1:14" ht="15">
      <c r="B535" s="689" t="s">
        <v>908</v>
      </c>
      <c r="C535" s="689" t="s">
        <v>877</v>
      </c>
      <c r="D535" s="689" t="s">
        <v>12</v>
      </c>
      <c r="E535" s="689" t="s">
        <v>909</v>
      </c>
      <c r="F535" s="689" t="s">
        <v>878</v>
      </c>
    </row>
    <row r="536" spans="1:14" ht="18.75">
      <c r="B536" s="682">
        <v>46141</v>
      </c>
      <c r="C536" s="683">
        <v>2358</v>
      </c>
      <c r="D536" s="683" t="s">
        <v>902</v>
      </c>
      <c r="E536" s="683" t="s">
        <v>903</v>
      </c>
      <c r="F536" s="690">
        <v>2473</v>
      </c>
    </row>
    <row r="537" spans="1:14" ht="18.75">
      <c r="B537" s="684">
        <v>46141</v>
      </c>
      <c r="C537" s="685">
        <v>2358</v>
      </c>
      <c r="D537" s="685" t="s">
        <v>902</v>
      </c>
      <c r="E537" s="685" t="s">
        <v>939</v>
      </c>
      <c r="F537" s="691">
        <v>1424.6</v>
      </c>
    </row>
    <row r="538" spans="1:14" ht="18.75">
      <c r="B538" s="682">
        <v>46141</v>
      </c>
      <c r="C538" s="683">
        <v>2970</v>
      </c>
      <c r="D538" s="683" t="s">
        <v>989</v>
      </c>
      <c r="E538" s="683" t="s">
        <v>968</v>
      </c>
      <c r="F538" s="690">
        <v>1430.2</v>
      </c>
    </row>
    <row r="539" spans="1:14" ht="18.75">
      <c r="B539" s="684">
        <v>46141</v>
      </c>
      <c r="C539" s="685">
        <v>3899</v>
      </c>
      <c r="D539" s="685" t="s">
        <v>990</v>
      </c>
      <c r="E539" s="685" t="s">
        <v>967</v>
      </c>
      <c r="F539" s="691">
        <v>1539.2</v>
      </c>
    </row>
    <row r="540" spans="1:14" ht="18.75">
      <c r="B540" s="682">
        <v>46141</v>
      </c>
      <c r="C540" s="683">
        <v>6635</v>
      </c>
      <c r="D540" s="683" t="s">
        <v>922</v>
      </c>
      <c r="E540" s="683" t="s">
        <v>921</v>
      </c>
      <c r="F540" s="690">
        <v>971</v>
      </c>
    </row>
    <row r="541" spans="1:14" ht="18.75">
      <c r="B541" s="684">
        <v>46141</v>
      </c>
      <c r="C541" s="685">
        <v>7027</v>
      </c>
      <c r="D541" s="685" t="s">
        <v>981</v>
      </c>
      <c r="E541" s="685" t="s">
        <v>942</v>
      </c>
      <c r="F541" s="691">
        <v>541</v>
      </c>
    </row>
    <row r="542" spans="1:14" ht="18.75">
      <c r="B542" s="682">
        <v>46141</v>
      </c>
      <c r="C542" s="683">
        <v>8442</v>
      </c>
      <c r="D542" s="683" t="s">
        <v>991</v>
      </c>
      <c r="E542" s="683" t="s">
        <v>874</v>
      </c>
      <c r="F542" s="690">
        <v>174</v>
      </c>
    </row>
    <row r="543" spans="1:14" ht="18.75">
      <c r="B543" s="684">
        <v>46141</v>
      </c>
      <c r="C543" s="685">
        <v>8864</v>
      </c>
      <c r="D543" s="685" t="s">
        <v>941</v>
      </c>
      <c r="E543" s="685" t="s">
        <v>940</v>
      </c>
      <c r="F543" s="691">
        <v>1759.8</v>
      </c>
    </row>
    <row r="544" spans="1:14" ht="18.75">
      <c r="B544" s="682">
        <v>46141</v>
      </c>
      <c r="C544" s="683">
        <v>7027</v>
      </c>
      <c r="D544" s="683" t="s">
        <v>981</v>
      </c>
      <c r="E544" s="683" t="s">
        <v>943</v>
      </c>
      <c r="F544" s="690">
        <v>347.2</v>
      </c>
    </row>
    <row r="545" spans="2:6" ht="18.75">
      <c r="B545" s="684">
        <v>46141</v>
      </c>
      <c r="C545" s="685">
        <v>7027</v>
      </c>
      <c r="D545" s="685" t="s">
        <v>981</v>
      </c>
      <c r="E545" s="685" t="s">
        <v>942</v>
      </c>
      <c r="F545" s="691">
        <v>1968.6</v>
      </c>
    </row>
    <row r="546" spans="2:6" ht="18.75">
      <c r="B546" s="682">
        <v>46141</v>
      </c>
      <c r="C546" s="683">
        <v>7849</v>
      </c>
      <c r="D546" s="683" t="s">
        <v>982</v>
      </c>
      <c r="E546" s="683" t="s">
        <v>944</v>
      </c>
      <c r="F546" s="690">
        <v>351.8</v>
      </c>
    </row>
    <row r="547" spans="2:6" ht="18.75">
      <c r="B547" s="684">
        <v>46141</v>
      </c>
      <c r="C547" s="685">
        <v>7850</v>
      </c>
      <c r="D547" s="685" t="s">
        <v>992</v>
      </c>
      <c r="E547" s="685" t="s">
        <v>945</v>
      </c>
      <c r="F547" s="691">
        <v>1643</v>
      </c>
    </row>
    <row r="548" spans="2:6" ht="18.75">
      <c r="B548" s="687"/>
      <c r="C548" s="688"/>
      <c r="D548" s="688"/>
      <c r="E548" s="688"/>
      <c r="F548" s="692">
        <v>14623.4</v>
      </c>
    </row>
    <row r="549" spans="2:6" ht="12.75"/>
    <row r="550" spans="2:6" ht="12.75"/>
    <row r="551" spans="2:6" ht="12.75"/>
    <row r="552" spans="2:6" ht="12.75"/>
    <row r="553" spans="2:6" ht="12.75"/>
    <row r="554" spans="2:6" ht="12.75"/>
    <row r="555" spans="2:6" ht="12.75"/>
    <row r="556" spans="2:6" ht="12.75"/>
    <row r="557" spans="2:6" ht="12.75"/>
    <row r="558" spans="2:6" ht="12.75"/>
    <row r="559" spans="2:6" ht="12.75"/>
    <row r="560" spans="2:6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27" ht="12.75"/>
  </sheetData>
  <sortState xmlns:xlrd2="http://schemas.microsoft.com/office/spreadsheetml/2017/richdata2" ref="A624:N630">
    <sortCondition descending="1" sortBy="cellColor" ref="D624:D630" dxfId="271"/>
  </sortState>
  <mergeCells count="1">
    <mergeCell ref="A1:C1"/>
  </mergeCells>
  <phoneticPr fontId="54" type="noConversion"/>
  <conditionalFormatting sqref="G91:H9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62992125984251968" right="0.23622047244094491" top="0.15748031496062992" bottom="0.15748031496062992" header="0.31496062992125984" footer="0.31496062992125984"/>
  <pageSetup scale="73" fitToHeight="0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/>
    <pageSetUpPr fitToPage="1"/>
  </sheetPr>
  <dimension ref="A1:N10"/>
  <sheetViews>
    <sheetView zoomScale="85" zoomScaleNormal="85" workbookViewId="0">
      <selection activeCell="I14" sqref="I14"/>
    </sheetView>
  </sheetViews>
  <sheetFormatPr defaultRowHeight="15" customHeight="1"/>
  <cols>
    <col min="1" max="1" width="14.85546875" customWidth="1"/>
    <col min="2" max="2" width="12.85546875" customWidth="1"/>
    <col min="3" max="3" width="8.85546875" customWidth="1"/>
    <col min="4" max="4" width="34.85546875" customWidth="1"/>
    <col min="5" max="5" width="6.85546875" bestFit="1" customWidth="1"/>
    <col min="6" max="6" width="10.28515625" bestFit="1" customWidth="1"/>
    <col min="7" max="7" width="13.85546875" style="725" bestFit="1" customWidth="1"/>
    <col min="8" max="8" width="22.5703125" customWidth="1"/>
    <col min="9" max="9" width="15.85546875" customWidth="1"/>
    <col min="10" max="10" width="24.140625" bestFit="1" customWidth="1"/>
    <col min="11" max="11" width="14.7109375" customWidth="1"/>
    <col min="12" max="12" width="13.5703125" customWidth="1"/>
    <col min="14" max="14" width="18" style="726" bestFit="1" customWidth="1"/>
  </cols>
  <sheetData>
    <row r="1" spans="1:14" ht="15" customHeight="1">
      <c r="A1" s="719" t="s">
        <v>470</v>
      </c>
      <c r="B1" s="720" t="s">
        <v>320</v>
      </c>
      <c r="C1" s="720" t="s">
        <v>454</v>
      </c>
      <c r="D1" s="720" t="s">
        <v>455</v>
      </c>
      <c r="E1" s="720" t="s">
        <v>114</v>
      </c>
      <c r="F1" s="720" t="s">
        <v>456</v>
      </c>
      <c r="G1" s="720" t="s">
        <v>457</v>
      </c>
      <c r="H1" s="720" t="s">
        <v>463</v>
      </c>
      <c r="I1" s="720" t="s">
        <v>464</v>
      </c>
      <c r="J1" s="720" t="s">
        <v>468</v>
      </c>
      <c r="K1" s="720" t="s">
        <v>469</v>
      </c>
      <c r="L1" s="720" t="s">
        <v>484</v>
      </c>
      <c r="N1" s="721" t="str">
        <f t="shared" ref="N1:N2" si="0">B1</f>
        <v>SO DATE</v>
      </c>
    </row>
    <row r="2" spans="1:14" ht="15" customHeight="1">
      <c r="A2" s="722" t="s">
        <v>1012</v>
      </c>
      <c r="B2" s="727">
        <v>46141</v>
      </c>
      <c r="C2" s="724">
        <v>1005</v>
      </c>
      <c r="D2" s="723" t="s">
        <v>1006</v>
      </c>
      <c r="E2" s="723" t="s">
        <v>326</v>
      </c>
      <c r="F2" s="724">
        <v>1000</v>
      </c>
      <c r="G2" s="723" t="s">
        <v>994</v>
      </c>
      <c r="H2" s="723" t="s">
        <v>1020</v>
      </c>
      <c r="I2" s="723" t="s">
        <v>255</v>
      </c>
      <c r="J2" s="723" t="s">
        <v>1019</v>
      </c>
      <c r="K2" s="723" t="s">
        <v>1018</v>
      </c>
      <c r="L2" s="727">
        <v>46157</v>
      </c>
      <c r="N2" s="721">
        <f t="shared" si="0"/>
        <v>46141</v>
      </c>
    </row>
    <row r="3" spans="1:14" ht="15" customHeight="1">
      <c r="A3" s="722" t="s">
        <v>1013</v>
      </c>
      <c r="B3" s="727">
        <v>46141</v>
      </c>
      <c r="C3" s="724">
        <v>1006</v>
      </c>
      <c r="D3" s="723" t="s">
        <v>1007</v>
      </c>
      <c r="E3" s="723" t="s">
        <v>326</v>
      </c>
      <c r="F3" s="724">
        <v>1000</v>
      </c>
      <c r="G3" s="723" t="s">
        <v>995</v>
      </c>
      <c r="H3" s="723" t="s">
        <v>1022</v>
      </c>
      <c r="I3" s="723" t="s">
        <v>166</v>
      </c>
      <c r="J3" s="723" t="s">
        <v>1019</v>
      </c>
      <c r="K3" s="723" t="s">
        <v>1018</v>
      </c>
      <c r="L3" s="727">
        <v>46157</v>
      </c>
      <c r="N3" s="721">
        <f t="shared" ref="N3:N10" si="1">B3</f>
        <v>46141</v>
      </c>
    </row>
    <row r="4" spans="1:14" ht="15" customHeight="1">
      <c r="A4" s="722" t="s">
        <v>1014</v>
      </c>
      <c r="B4" s="727">
        <v>46141</v>
      </c>
      <c r="C4" s="724">
        <v>1007</v>
      </c>
      <c r="D4" s="723" t="s">
        <v>1008</v>
      </c>
      <c r="E4" s="723" t="s">
        <v>326</v>
      </c>
      <c r="F4" s="724">
        <v>1000</v>
      </c>
      <c r="G4" s="723" t="s">
        <v>996</v>
      </c>
      <c r="H4" s="723" t="s">
        <v>1021</v>
      </c>
      <c r="I4" s="723" t="s">
        <v>466</v>
      </c>
      <c r="J4" s="723" t="s">
        <v>1019</v>
      </c>
      <c r="K4" s="723" t="s">
        <v>1018</v>
      </c>
      <c r="L4" s="727">
        <v>46157</v>
      </c>
      <c r="N4" s="721">
        <f t="shared" si="1"/>
        <v>46141</v>
      </c>
    </row>
    <row r="5" spans="1:14" ht="15" customHeight="1">
      <c r="A5" s="722" t="s">
        <v>1015</v>
      </c>
      <c r="B5" s="727">
        <v>46141</v>
      </c>
      <c r="C5" s="724">
        <v>1008</v>
      </c>
      <c r="D5" s="723" t="s">
        <v>1009</v>
      </c>
      <c r="E5" s="723" t="s">
        <v>326</v>
      </c>
      <c r="F5" s="724">
        <v>1000</v>
      </c>
      <c r="G5" s="723" t="s">
        <v>997</v>
      </c>
      <c r="H5" s="723" t="s">
        <v>1021</v>
      </c>
      <c r="I5" s="723" t="s">
        <v>254</v>
      </c>
      <c r="J5" s="723" t="s">
        <v>1019</v>
      </c>
      <c r="K5" s="723" t="s">
        <v>1018</v>
      </c>
      <c r="L5" s="727">
        <v>46157</v>
      </c>
      <c r="N5" s="721">
        <f t="shared" si="1"/>
        <v>46141</v>
      </c>
    </row>
    <row r="6" spans="1:14" ht="15" customHeight="1">
      <c r="A6" s="722" t="s">
        <v>1016</v>
      </c>
      <c r="B6" s="727">
        <v>46141</v>
      </c>
      <c r="C6" s="724">
        <v>1009</v>
      </c>
      <c r="D6" s="723" t="s">
        <v>1010</v>
      </c>
      <c r="E6" s="723" t="s">
        <v>458</v>
      </c>
      <c r="F6" s="724">
        <v>75000</v>
      </c>
      <c r="G6" s="723" t="s">
        <v>998</v>
      </c>
      <c r="H6" s="723" t="s">
        <v>1021</v>
      </c>
      <c r="I6" s="723" t="s">
        <v>167</v>
      </c>
      <c r="J6" s="723" t="s">
        <v>1019</v>
      </c>
      <c r="K6" s="723" t="s">
        <v>1018</v>
      </c>
      <c r="L6" s="727">
        <v>46157</v>
      </c>
      <c r="N6" s="721">
        <f t="shared" si="1"/>
        <v>46141</v>
      </c>
    </row>
    <row r="7" spans="1:14" ht="15" customHeight="1">
      <c r="A7" s="722" t="s">
        <v>1017</v>
      </c>
      <c r="B7" s="727">
        <v>46141</v>
      </c>
      <c r="C7" s="724">
        <v>1010</v>
      </c>
      <c r="D7" s="723" t="s">
        <v>1011</v>
      </c>
      <c r="E7" s="723" t="s">
        <v>326</v>
      </c>
      <c r="F7" s="724">
        <v>1000</v>
      </c>
      <c r="G7" s="723" t="s">
        <v>999</v>
      </c>
      <c r="H7" s="723" t="s">
        <v>1023</v>
      </c>
      <c r="I7" s="723" t="s">
        <v>254</v>
      </c>
      <c r="J7" s="723" t="s">
        <v>1019</v>
      </c>
      <c r="K7" s="723" t="s">
        <v>322</v>
      </c>
      <c r="L7" s="727">
        <v>46157</v>
      </c>
      <c r="N7" s="721">
        <f t="shared" si="1"/>
        <v>46141</v>
      </c>
    </row>
    <row r="8" spans="1:14" ht="15" customHeight="1">
      <c r="A8" s="722"/>
      <c r="B8" s="723"/>
      <c r="C8" s="724"/>
      <c r="D8" s="723"/>
      <c r="E8" s="723"/>
      <c r="F8" s="724"/>
      <c r="G8" s="723"/>
      <c r="H8" s="723"/>
      <c r="I8" s="723"/>
      <c r="J8" s="723"/>
      <c r="K8" s="723"/>
      <c r="L8" s="723"/>
      <c r="N8" s="721">
        <f t="shared" si="1"/>
        <v>0</v>
      </c>
    </row>
    <row r="9" spans="1:14" ht="15" customHeight="1">
      <c r="A9" s="722"/>
      <c r="B9" s="723"/>
      <c r="C9" s="724"/>
      <c r="D9" s="723"/>
      <c r="E9" s="723"/>
      <c r="F9" s="724"/>
      <c r="G9" s="723"/>
      <c r="H9" s="723"/>
      <c r="I9" s="723"/>
      <c r="J9" s="723"/>
      <c r="K9" s="723"/>
      <c r="L9" s="723"/>
      <c r="N9" s="721">
        <f t="shared" si="1"/>
        <v>0</v>
      </c>
    </row>
    <row r="10" spans="1:14" ht="15" customHeight="1">
      <c r="A10" s="722"/>
      <c r="B10" s="723"/>
      <c r="C10" s="724"/>
      <c r="D10" s="723"/>
      <c r="E10" s="723"/>
      <c r="F10" s="724"/>
      <c r="G10" s="723"/>
      <c r="H10" s="723"/>
      <c r="I10" s="723"/>
      <c r="J10" s="723"/>
      <c r="K10" s="723"/>
      <c r="L10" s="723"/>
      <c r="N10" s="721">
        <f t="shared" si="1"/>
        <v>0</v>
      </c>
    </row>
  </sheetData>
  <conditionalFormatting sqref="G4 G7:G1048576">
    <cfRule type="duplicateValues" dxfId="233" priority="2"/>
    <cfRule type="duplicateValues" dxfId="232" priority="3"/>
  </conditionalFormatting>
  <pageMargins left="0.25" right="0.25" top="0.75" bottom="0.75" header="0.3" footer="0.3"/>
  <pageSetup paperSize="9" scale="5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  <pageSetUpPr fitToPage="1"/>
  </sheetPr>
  <dimension ref="A1:Z18"/>
  <sheetViews>
    <sheetView zoomScaleNormal="100" workbookViewId="0">
      <pane ySplit="2" topLeftCell="A3" activePane="bottomLeft" state="frozen"/>
      <selection activeCell="L44" sqref="L44"/>
      <selection pane="bottomLeft" activeCell="G16" sqref="G16"/>
    </sheetView>
  </sheetViews>
  <sheetFormatPr defaultColWidth="9.140625" defaultRowHeight="21"/>
  <cols>
    <col min="1" max="1" width="1.140625" style="711" customWidth="1"/>
    <col min="2" max="2" width="5.5703125" style="108" customWidth="1"/>
    <col min="3" max="3" width="4" style="108" customWidth="1"/>
    <col min="4" max="4" width="6.42578125" style="712" customWidth="1"/>
    <col min="5" max="5" width="3.85546875" style="108" customWidth="1"/>
    <col min="6" max="6" width="8.85546875" style="713" customWidth="1"/>
    <col min="7" max="7" width="10" style="713" customWidth="1"/>
    <col min="8" max="8" width="11.42578125" style="108" customWidth="1"/>
    <col min="9" max="9" width="10" style="381" customWidth="1"/>
    <col min="10" max="10" width="57.42578125" style="108" customWidth="1"/>
    <col min="11" max="11" width="9.5703125" style="714" customWidth="1"/>
    <col min="12" max="12" width="8.28515625" style="108" customWidth="1"/>
    <col min="13" max="13" width="8.140625" style="108" customWidth="1"/>
    <col min="14" max="14" width="6" style="715" customWidth="1"/>
    <col min="15" max="15" width="2.85546875" style="108" customWidth="1"/>
    <col min="16" max="16" width="10.7109375" style="716" customWidth="1"/>
    <col min="17" max="17" width="10.85546875" style="717" customWidth="1"/>
    <col min="18" max="18" width="28.28515625" style="108" customWidth="1"/>
    <col min="19" max="19" width="11.5703125" style="718" customWidth="1"/>
    <col min="20" max="20" width="9.140625" style="108" customWidth="1"/>
    <col min="21" max="21" width="7.7109375" style="108" customWidth="1"/>
    <col min="22" max="22" width="6.140625" style="37" customWidth="1"/>
    <col min="23" max="23" width="11" style="108" customWidth="1"/>
    <col min="24" max="24" width="11.5703125" style="108" customWidth="1"/>
    <col min="25" max="25" width="28.140625" style="108" customWidth="1"/>
    <col min="26" max="26" width="9.140625" style="108" customWidth="1"/>
    <col min="27" max="16384" width="9.140625" style="108"/>
  </cols>
  <sheetData>
    <row r="1" spans="1:26" s="29" customFormat="1" ht="21" hidden="1" customHeight="1">
      <c r="A1" s="754" t="s">
        <v>418</v>
      </c>
      <c r="B1" s="754"/>
      <c r="C1" s="754"/>
      <c r="D1" s="755"/>
      <c r="E1" s="12"/>
      <c r="F1" s="389" t="s">
        <v>315</v>
      </c>
      <c r="G1" s="390"/>
      <c r="I1" s="381">
        <v>5</v>
      </c>
      <c r="J1" s="370" t="s">
        <v>480</v>
      </c>
      <c r="K1" s="296">
        <v>3</v>
      </c>
      <c r="L1" s="30">
        <v>4</v>
      </c>
      <c r="M1" s="30">
        <v>5</v>
      </c>
      <c r="N1" s="259"/>
      <c r="O1" s="30">
        <v>7</v>
      </c>
      <c r="P1" s="356">
        <v>8</v>
      </c>
      <c r="Q1" s="377">
        <v>9</v>
      </c>
      <c r="R1" s="30">
        <v>10</v>
      </c>
      <c r="S1" s="38">
        <v>11</v>
      </c>
      <c r="T1" s="30">
        <v>12</v>
      </c>
      <c r="U1" s="31">
        <v>13</v>
      </c>
      <c r="V1" s="45">
        <v>14</v>
      </c>
      <c r="W1" s="30">
        <v>15</v>
      </c>
      <c r="X1" s="31">
        <v>16</v>
      </c>
      <c r="Y1" s="30">
        <v>17</v>
      </c>
      <c r="Z1" s="284">
        <v>18</v>
      </c>
    </row>
    <row r="2" spans="1:26" s="285" customFormat="1" ht="30.75" customHeight="1">
      <c r="A2" s="36" t="s">
        <v>266</v>
      </c>
      <c r="B2" s="35" t="s">
        <v>267</v>
      </c>
      <c r="C2" s="35" t="s">
        <v>268</v>
      </c>
      <c r="D2" s="394" t="s">
        <v>394</v>
      </c>
      <c r="E2" s="35" t="s">
        <v>272</v>
      </c>
      <c r="F2" s="391" t="s">
        <v>270</v>
      </c>
      <c r="G2" s="392" t="s">
        <v>271</v>
      </c>
      <c r="H2" s="32" t="s">
        <v>993</v>
      </c>
      <c r="I2" s="382" t="s">
        <v>174</v>
      </c>
      <c r="J2" s="371" t="s">
        <v>1</v>
      </c>
      <c r="K2" s="33" t="s">
        <v>224</v>
      </c>
      <c r="L2" s="33" t="s">
        <v>247</v>
      </c>
      <c r="M2" s="34" t="s">
        <v>208</v>
      </c>
      <c r="N2" s="258" t="s">
        <v>419</v>
      </c>
      <c r="O2" s="33" t="s">
        <v>171</v>
      </c>
      <c r="P2" s="363" t="s">
        <v>173</v>
      </c>
      <c r="Q2" s="378" t="s">
        <v>120</v>
      </c>
      <c r="R2" s="365" t="s">
        <v>151</v>
      </c>
      <c r="S2" s="39" t="s">
        <v>153</v>
      </c>
      <c r="T2" s="35" t="s">
        <v>286</v>
      </c>
      <c r="U2" s="35" t="s">
        <v>291</v>
      </c>
      <c r="V2" s="46"/>
      <c r="W2" s="49" t="s">
        <v>320</v>
      </c>
      <c r="X2" s="255" t="s">
        <v>319</v>
      </c>
      <c r="Y2" s="256" t="s">
        <v>258</v>
      </c>
    </row>
    <row r="3" spans="1:26" ht="16.5" customHeight="1">
      <c r="A3" s="101"/>
      <c r="B3" s="102">
        <v>2022</v>
      </c>
      <c r="C3" s="103"/>
      <c r="D3" s="724">
        <v>1005</v>
      </c>
      <c r="E3" s="102"/>
      <c r="F3" s="393">
        <f>VLOOKUP(I3,BOOKING!$G$1:$N$6584,8,0)</f>
        <v>46141</v>
      </c>
      <c r="G3" s="393">
        <f>VLOOKUP(I3,BOOKING!$G$1:$L$6314,6,0)</f>
        <v>46157</v>
      </c>
      <c r="H3" s="388">
        <f t="shared" ref="H3:H18" si="0">$G3-$F3</f>
        <v>16</v>
      </c>
      <c r="I3" s="367" t="s">
        <v>994</v>
      </c>
      <c r="J3" s="198" t="str">
        <f>VLOOKUP(D3,'Spec Sheet (2)'!$B$4:$GM$49,194,0)</f>
        <v>JOB NAME-1</v>
      </c>
      <c r="K3" s="362" t="s">
        <v>1000</v>
      </c>
      <c r="L3" s="102"/>
      <c r="M3" s="104">
        <f>VLOOKUP(J3,'Spec Sheet (2)'!$A$4:$C$26703,2,0)</f>
        <v>1005</v>
      </c>
      <c r="N3" s="260"/>
      <c r="O3" s="102" t="str">
        <f>VLOOKUP(J3,'Spec Sheet (2)'!$A$4:$ED$15568,134,0)</f>
        <v>Roll</v>
      </c>
      <c r="P3" s="364"/>
      <c r="Q3" s="397">
        <v>1000</v>
      </c>
      <c r="R3" s="355" t="str">
        <f>VLOOKUP(J3,'Spec Sheet (2)'!$A$4:$D$26649,4,0)</f>
        <v>PARTY-1</v>
      </c>
      <c r="S3" s="105" t="str">
        <f>VLOOKUP(J3,'Spec Sheet (2)'!$A$4:$GD$23938,186,0)</f>
        <v>SNACKS</v>
      </c>
      <c r="T3" s="102"/>
      <c r="U3" s="102"/>
      <c r="V3" s="37">
        <f t="shared" ref="V3:V18" si="1">H3</f>
        <v>16</v>
      </c>
      <c r="W3" s="106">
        <f t="shared" ref="W3:W18" si="2">F3</f>
        <v>46141</v>
      </c>
      <c r="X3" s="107">
        <f t="shared" ref="X3:X18" si="3">G3</f>
        <v>46157</v>
      </c>
      <c r="Y3" s="257" t="str">
        <f>VLOOKUP(M3,'Spec Sheet (2)'!$B$4:$GD$9,185)</f>
        <v>SNACKS</v>
      </c>
    </row>
    <row r="4" spans="1:26" ht="16.5" customHeight="1">
      <c r="A4" s="101"/>
      <c r="B4" s="102">
        <v>2022</v>
      </c>
      <c r="C4" s="103"/>
      <c r="D4" s="724">
        <v>1006</v>
      </c>
      <c r="E4" s="102"/>
      <c r="F4" s="393">
        <f>VLOOKUP(I4,BOOKING!$G$1:$N$6584,8,0)</f>
        <v>46141</v>
      </c>
      <c r="G4" s="393">
        <f>VLOOKUP(I4,BOOKING!$G$1:$L$6314,6,0)</f>
        <v>46157</v>
      </c>
      <c r="H4" s="388">
        <f t="shared" si="0"/>
        <v>16</v>
      </c>
      <c r="I4" s="367" t="s">
        <v>995</v>
      </c>
      <c r="J4" s="198" t="str">
        <f>VLOOKUP(D4,'Spec Sheet (2)'!$B$4:$GM$49,194,0)</f>
        <v>JOB NAME-2</v>
      </c>
      <c r="K4" s="362" t="s">
        <v>1001</v>
      </c>
      <c r="L4" s="102"/>
      <c r="M4" s="104">
        <f>VLOOKUP(J4,'Spec Sheet (2)'!$A$4:$C$26703,2,0)</f>
        <v>1006</v>
      </c>
      <c r="N4" s="260"/>
      <c r="O4" s="102" t="str">
        <f>VLOOKUP(J4,'Spec Sheet (2)'!$A$4:$ED$15568,134,0)</f>
        <v>Roll</v>
      </c>
      <c r="P4" s="364"/>
      <c r="Q4" s="397">
        <v>1000</v>
      </c>
      <c r="R4" s="355" t="str">
        <f>VLOOKUP(J4,'Spec Sheet (2)'!$A$4:$D$26649,4,0)</f>
        <v>PARTY-2</v>
      </c>
      <c r="S4" s="105" t="str">
        <f>VLOOKUP(J4,'Spec Sheet (2)'!$A$4:$GD$23938,186,0)</f>
        <v>OIL SURFACE</v>
      </c>
      <c r="T4" s="102"/>
      <c r="U4" s="102"/>
      <c r="V4" s="37">
        <f t="shared" si="1"/>
        <v>16</v>
      </c>
      <c r="W4" s="106">
        <f t="shared" si="2"/>
        <v>46141</v>
      </c>
      <c r="X4" s="107">
        <f t="shared" si="3"/>
        <v>46157</v>
      </c>
      <c r="Y4" s="257" t="str">
        <f>VLOOKUP(M4,'Spec Sheet (2)'!$B$4:$GD$9,185)</f>
        <v>OIL SURFACE</v>
      </c>
    </row>
    <row r="5" spans="1:26" ht="16.5" customHeight="1">
      <c r="A5" s="101"/>
      <c r="B5" s="102">
        <v>2022</v>
      </c>
      <c r="C5" s="103"/>
      <c r="D5" s="724">
        <v>1007</v>
      </c>
      <c r="E5" s="102"/>
      <c r="F5" s="393">
        <f>VLOOKUP(I5,BOOKING!$G$1:$N$6584,8,0)</f>
        <v>46141</v>
      </c>
      <c r="G5" s="393">
        <f>VLOOKUP(I5,BOOKING!$G$1:$L$6314,6,0)</f>
        <v>46157</v>
      </c>
      <c r="H5" s="388">
        <f t="shared" si="0"/>
        <v>16</v>
      </c>
      <c r="I5" s="367" t="s">
        <v>996</v>
      </c>
      <c r="J5" s="198" t="str">
        <f>VLOOKUP(D5,'Spec Sheet (2)'!$B$4:$GM$49,194,0)</f>
        <v>JOB NAME-3</v>
      </c>
      <c r="K5" s="362" t="s">
        <v>1002</v>
      </c>
      <c r="L5" s="102"/>
      <c r="M5" s="104">
        <f>VLOOKUP(J5,'Spec Sheet (2)'!$A$4:$C$26703,2,0)</f>
        <v>1007</v>
      </c>
      <c r="N5" s="260"/>
      <c r="O5" s="102" t="str">
        <f>VLOOKUP(J5,'Spec Sheet (2)'!$A$4:$ED$15568,134,0)</f>
        <v>Roll</v>
      </c>
      <c r="P5" s="364"/>
      <c r="Q5" s="397">
        <v>1000</v>
      </c>
      <c r="R5" s="355" t="str">
        <f>VLOOKUP(J5,'Spec Sheet (2)'!$A$4:$D$26649,4,0)</f>
        <v>PARTY-3</v>
      </c>
      <c r="S5" s="105" t="str">
        <f>VLOOKUP(J5,'Spec Sheet (2)'!$A$4:$GD$23938,186,0)</f>
        <v>BISCUITE</v>
      </c>
      <c r="T5" s="102"/>
      <c r="U5" s="102"/>
      <c r="V5" s="37">
        <f t="shared" si="1"/>
        <v>16</v>
      </c>
      <c r="W5" s="106">
        <f t="shared" si="2"/>
        <v>46141</v>
      </c>
      <c r="X5" s="107">
        <f t="shared" si="3"/>
        <v>46157</v>
      </c>
      <c r="Y5" s="257" t="str">
        <f>VLOOKUP(M5,'Spec Sheet (2)'!$B$4:$GD$9,185)</f>
        <v>BISCUITE</v>
      </c>
    </row>
    <row r="6" spans="1:26" ht="16.5" customHeight="1">
      <c r="A6" s="101"/>
      <c r="B6" s="102">
        <v>2022</v>
      </c>
      <c r="C6" s="103"/>
      <c r="D6" s="724">
        <v>1008</v>
      </c>
      <c r="E6" s="102"/>
      <c r="F6" s="393">
        <f>VLOOKUP(I6,BOOKING!$G$1:$N$6584,8,0)</f>
        <v>46141</v>
      </c>
      <c r="G6" s="393">
        <f>VLOOKUP(I6,BOOKING!$G$1:$L$6314,6,0)</f>
        <v>46157</v>
      </c>
      <c r="H6" s="388">
        <f t="shared" si="0"/>
        <v>16</v>
      </c>
      <c r="I6" s="367" t="s">
        <v>997</v>
      </c>
      <c r="J6" s="198" t="str">
        <f>VLOOKUP(D6,'Spec Sheet (2)'!$B$4:$GM$49,194,0)</f>
        <v>JOB NAME-4</v>
      </c>
      <c r="K6" s="362" t="s">
        <v>1003</v>
      </c>
      <c r="L6" s="102"/>
      <c r="M6" s="104">
        <f>VLOOKUP(J6,'Spec Sheet (2)'!$A$4:$C$26703,2,0)</f>
        <v>1008</v>
      </c>
      <c r="N6" s="260"/>
      <c r="O6" s="102" t="str">
        <f>VLOOKUP(J6,'Spec Sheet (2)'!$A$4:$ED$15568,134,0)</f>
        <v>Roll</v>
      </c>
      <c r="P6" s="364"/>
      <c r="Q6" s="397">
        <v>1000</v>
      </c>
      <c r="R6" s="355" t="str">
        <f>VLOOKUP(J6,'Spec Sheet (2)'!$A$4:$D$26649,4,0)</f>
        <v>PARTY-4</v>
      </c>
      <c r="S6" s="105" t="str">
        <f>VLOOKUP(J6,'Spec Sheet (2)'!$A$4:$GD$23938,186,0)</f>
        <v>FLOW WRAP</v>
      </c>
      <c r="T6" s="102"/>
      <c r="U6" s="102"/>
      <c r="V6" s="37">
        <f t="shared" si="1"/>
        <v>16</v>
      </c>
      <c r="W6" s="106">
        <f t="shared" si="2"/>
        <v>46141</v>
      </c>
      <c r="X6" s="107">
        <f t="shared" si="3"/>
        <v>46157</v>
      </c>
      <c r="Y6" s="257" t="str">
        <f>VLOOKUP(M6,'Spec Sheet (2)'!$B$4:$GD$9,185)</f>
        <v>FLOW WRAP</v>
      </c>
    </row>
    <row r="7" spans="1:26" ht="16.5" customHeight="1">
      <c r="A7" s="101"/>
      <c r="B7" s="102">
        <v>2022</v>
      </c>
      <c r="C7" s="103"/>
      <c r="D7" s="724">
        <v>1009</v>
      </c>
      <c r="E7" s="102"/>
      <c r="F7" s="393">
        <f>VLOOKUP(I7,BOOKING!$G$1:$N$6584,8,0)</f>
        <v>46141</v>
      </c>
      <c r="G7" s="393">
        <f>VLOOKUP(I7,BOOKING!$G$1:$L$6314,6,0)</f>
        <v>46157</v>
      </c>
      <c r="H7" s="388">
        <f t="shared" si="0"/>
        <v>16</v>
      </c>
      <c r="I7" s="367" t="s">
        <v>998</v>
      </c>
      <c r="J7" s="198" t="str">
        <f>VLOOKUP(D7,'Spec Sheet (2)'!$B$4:$GM$49,194,0)</f>
        <v>JOB NAME-5</v>
      </c>
      <c r="K7" s="362" t="s">
        <v>1004</v>
      </c>
      <c r="L7" s="102"/>
      <c r="M7" s="104">
        <f>VLOOKUP(J7,'Spec Sheet (2)'!$A$4:$C$26703,2,0)</f>
        <v>1009</v>
      </c>
      <c r="N7" s="260"/>
      <c r="O7" s="102" t="str">
        <f>VLOOKUP(J7,'Spec Sheet (2)'!$A$4:$ED$15568,134,0)</f>
        <v>Roll</v>
      </c>
      <c r="P7" s="364">
        <v>75000</v>
      </c>
      <c r="Q7" s="397">
        <v>862.5</v>
      </c>
      <c r="R7" s="355" t="str">
        <f>VLOOKUP(J7,'Spec Sheet (2)'!$A$4:$D$26649,4,0)</f>
        <v>PARTY-5</v>
      </c>
      <c r="S7" s="105" t="str">
        <f>VLOOKUP(J7,'Spec Sheet (2)'!$A$4:$GD$23938,186,0)</f>
        <v>SPICE</v>
      </c>
      <c r="T7" s="102"/>
      <c r="U7" s="102"/>
      <c r="V7" s="37">
        <f t="shared" si="1"/>
        <v>16</v>
      </c>
      <c r="W7" s="106">
        <f t="shared" si="2"/>
        <v>46141</v>
      </c>
      <c r="X7" s="107">
        <f t="shared" si="3"/>
        <v>46157</v>
      </c>
      <c r="Y7" s="257" t="str">
        <f>VLOOKUP(M7,'Spec Sheet (2)'!$B$4:$GD$9,185)</f>
        <v>SPICE</v>
      </c>
    </row>
    <row r="8" spans="1:26" ht="16.5" customHeight="1">
      <c r="A8" s="101"/>
      <c r="B8" s="102">
        <v>2022</v>
      </c>
      <c r="C8" s="103"/>
      <c r="D8" s="724">
        <v>1010</v>
      </c>
      <c r="E8" s="102"/>
      <c r="F8" s="393">
        <f>VLOOKUP(I8,BOOKING!$G$1:$N$6584,8,0)</f>
        <v>46141</v>
      </c>
      <c r="G8" s="393">
        <f>VLOOKUP(I8,BOOKING!$G$1:$L$6314,6,0)</f>
        <v>46157</v>
      </c>
      <c r="H8" s="388">
        <f t="shared" si="0"/>
        <v>16</v>
      </c>
      <c r="I8" s="367" t="s">
        <v>999</v>
      </c>
      <c r="J8" s="198" t="str">
        <f>VLOOKUP(D8,'Spec Sheet (2)'!$B$4:$GM$49,194,0)</f>
        <v>JOB NAME-6</v>
      </c>
      <c r="K8" s="362" t="s">
        <v>1005</v>
      </c>
      <c r="L8" s="102"/>
      <c r="M8" s="104">
        <f>VLOOKUP(J8,'Spec Sheet (2)'!$A$4:$C$26703,2,0)</f>
        <v>1010</v>
      </c>
      <c r="N8" s="260"/>
      <c r="O8" s="102" t="str">
        <f>VLOOKUP(J8,'Spec Sheet (2)'!$A$4:$ED$15568,134,0)</f>
        <v>Roll</v>
      </c>
      <c r="P8" s="364"/>
      <c r="Q8" s="397">
        <v>1000</v>
      </c>
      <c r="R8" s="355" t="str">
        <f>VLOOKUP(J8,'Spec Sheet (2)'!$A$4:$D$26649,4,0)</f>
        <v>PARTY-6</v>
      </c>
      <c r="S8" s="105" t="str">
        <f>VLOOKUP(J8,'Spec Sheet (2)'!$A$4:$GD$23938,186,0)</f>
        <v>FLOW WRAP</v>
      </c>
      <c r="T8" s="102"/>
      <c r="U8" s="102"/>
      <c r="V8" s="37">
        <f t="shared" si="1"/>
        <v>16</v>
      </c>
      <c r="W8" s="106">
        <f t="shared" si="2"/>
        <v>46141</v>
      </c>
      <c r="X8" s="107">
        <f t="shared" si="3"/>
        <v>46157</v>
      </c>
      <c r="Y8" s="257" t="str">
        <f>VLOOKUP(M8,'Spec Sheet (2)'!$B$4:$GD$9,185)</f>
        <v>FLOW WRAP</v>
      </c>
    </row>
    <row r="9" spans="1:26" ht="16.5" customHeight="1">
      <c r="A9" s="101"/>
      <c r="B9" s="102">
        <v>2022</v>
      </c>
      <c r="C9" s="103"/>
      <c r="D9" s="599"/>
      <c r="E9" s="102"/>
      <c r="F9" s="393" t="e">
        <f>VLOOKUP(I9,BOOKING!$G$1:$N$6584,8,0)</f>
        <v>#N/A</v>
      </c>
      <c r="G9" s="393" t="e">
        <f>VLOOKUP(I9,BOOKING!$G$1:$L$6314,6,0)</f>
        <v>#N/A</v>
      </c>
      <c r="H9" s="388" t="e">
        <f t="shared" si="0"/>
        <v>#N/A</v>
      </c>
      <c r="I9" s="367"/>
      <c r="J9" s="198" t="e">
        <f>VLOOKUP(D9,'Spec Sheet (2)'!$B$4:$GM$49,194,0)</f>
        <v>#N/A</v>
      </c>
      <c r="K9" s="362"/>
      <c r="L9" s="102"/>
      <c r="M9" s="104" t="e">
        <f>VLOOKUP(J9,'Spec Sheet (2)'!$A$4:$C$26703,2,0)</f>
        <v>#N/A</v>
      </c>
      <c r="N9" s="260"/>
      <c r="O9" s="102" t="e">
        <f>VLOOKUP(J9,'Spec Sheet (2)'!$A$4:$ED$15568,134,0)</f>
        <v>#N/A</v>
      </c>
      <c r="P9" s="364"/>
      <c r="Q9" s="397"/>
      <c r="R9" s="355" t="e">
        <f>VLOOKUP(J9,'Spec Sheet (2)'!$A$4:$D$26649,4,0)</f>
        <v>#N/A</v>
      </c>
      <c r="S9" s="105" t="e">
        <f>VLOOKUP(J9,'Spec Sheet (2)'!$A$4:$GD$23938,186,0)</f>
        <v>#N/A</v>
      </c>
      <c r="T9" s="102"/>
      <c r="U9" s="102"/>
      <c r="V9" s="37" t="e">
        <f t="shared" si="1"/>
        <v>#N/A</v>
      </c>
      <c r="W9" s="106" t="e">
        <f t="shared" si="2"/>
        <v>#N/A</v>
      </c>
      <c r="X9" s="107" t="e">
        <f t="shared" si="3"/>
        <v>#N/A</v>
      </c>
      <c r="Y9" s="257" t="e">
        <f>VLOOKUP(M9,'Spec Sheet (2)'!$B$4:$GD$9,185)</f>
        <v>#N/A</v>
      </c>
    </row>
    <row r="10" spans="1:26" ht="16.5" customHeight="1">
      <c r="A10" s="101"/>
      <c r="B10" s="102">
        <v>2022</v>
      </c>
      <c r="C10" s="103"/>
      <c r="D10" s="599"/>
      <c r="E10" s="102"/>
      <c r="F10" s="393" t="e">
        <f>VLOOKUP(I10,BOOKING!$G$1:$N$6584,8,0)</f>
        <v>#N/A</v>
      </c>
      <c r="G10" s="393" t="e">
        <f>VLOOKUP(I10,BOOKING!$G$1:$L$6314,6,0)</f>
        <v>#N/A</v>
      </c>
      <c r="H10" s="388" t="e">
        <f t="shared" si="0"/>
        <v>#N/A</v>
      </c>
      <c r="I10" s="367"/>
      <c r="J10" s="198" t="e">
        <f>VLOOKUP(D10,'Spec Sheet (2)'!$B$4:$GM$49,194,0)</f>
        <v>#N/A</v>
      </c>
      <c r="K10" s="362"/>
      <c r="L10" s="102"/>
      <c r="M10" s="104" t="e">
        <f>VLOOKUP(J10,'Spec Sheet (2)'!$A$4:$C$26703,2,0)</f>
        <v>#N/A</v>
      </c>
      <c r="N10" s="260"/>
      <c r="O10" s="102" t="e">
        <f>VLOOKUP(J10,'Spec Sheet (2)'!$A$4:$ED$15568,134,0)</f>
        <v>#N/A</v>
      </c>
      <c r="P10" s="364"/>
      <c r="Q10" s="397"/>
      <c r="R10" s="355" t="e">
        <f>VLOOKUP(J10,'Spec Sheet (2)'!$A$4:$D$26649,4,0)</f>
        <v>#N/A</v>
      </c>
      <c r="S10" s="105" t="e">
        <f>VLOOKUP(J10,'Spec Sheet (2)'!$A$4:$GD$23938,186,0)</f>
        <v>#N/A</v>
      </c>
      <c r="T10" s="102"/>
      <c r="U10" s="102"/>
      <c r="V10" s="37" t="e">
        <f t="shared" si="1"/>
        <v>#N/A</v>
      </c>
      <c r="W10" s="106" t="e">
        <f t="shared" si="2"/>
        <v>#N/A</v>
      </c>
      <c r="X10" s="107" t="e">
        <f t="shared" si="3"/>
        <v>#N/A</v>
      </c>
      <c r="Y10" s="257" t="e">
        <f>VLOOKUP(M10,'Spec Sheet (2)'!$B$4:$GD$9,185)</f>
        <v>#N/A</v>
      </c>
    </row>
    <row r="11" spans="1:26" ht="16.5" customHeight="1">
      <c r="A11" s="101"/>
      <c r="B11" s="102">
        <v>2022</v>
      </c>
      <c r="C11" s="103"/>
      <c r="D11" s="599"/>
      <c r="E11" s="102"/>
      <c r="F11" s="393" t="e">
        <f>VLOOKUP(I11,BOOKING!$G$1:$N$6584,8,0)</f>
        <v>#N/A</v>
      </c>
      <c r="G11" s="393" t="e">
        <f>VLOOKUP(I11,BOOKING!$G$1:$L$6314,6,0)</f>
        <v>#N/A</v>
      </c>
      <c r="H11" s="388" t="e">
        <f t="shared" si="0"/>
        <v>#N/A</v>
      </c>
      <c r="I11" s="367"/>
      <c r="J11" s="198" t="e">
        <f>VLOOKUP(D11,'Spec Sheet (2)'!$B$4:$GM$49,194,0)</f>
        <v>#N/A</v>
      </c>
      <c r="K11" s="362"/>
      <c r="L11" s="102"/>
      <c r="M11" s="104" t="e">
        <f>VLOOKUP(J11,'Spec Sheet (2)'!$A$4:$C$26703,2,0)</f>
        <v>#N/A</v>
      </c>
      <c r="N11" s="260"/>
      <c r="O11" s="102" t="e">
        <f>VLOOKUP(J11,'Spec Sheet (2)'!$A$4:$ED$15568,134,0)</f>
        <v>#N/A</v>
      </c>
      <c r="P11" s="364"/>
      <c r="Q11" s="397"/>
      <c r="R11" s="355" t="e">
        <f>VLOOKUP(J11,'Spec Sheet (2)'!$A$4:$D$26649,4,0)</f>
        <v>#N/A</v>
      </c>
      <c r="S11" s="105" t="e">
        <f>VLOOKUP(J11,'Spec Sheet (2)'!$A$4:$GD$23938,186,0)</f>
        <v>#N/A</v>
      </c>
      <c r="T11" s="102"/>
      <c r="U11" s="102"/>
      <c r="V11" s="37" t="e">
        <f t="shared" si="1"/>
        <v>#N/A</v>
      </c>
      <c r="W11" s="106" t="e">
        <f t="shared" si="2"/>
        <v>#N/A</v>
      </c>
      <c r="X11" s="107" t="e">
        <f t="shared" si="3"/>
        <v>#N/A</v>
      </c>
      <c r="Y11" s="257" t="e">
        <f>VLOOKUP(M11,'Spec Sheet (2)'!$B$4:$GD$9,185)</f>
        <v>#N/A</v>
      </c>
    </row>
    <row r="12" spans="1:26" ht="16.5" customHeight="1">
      <c r="A12" s="101"/>
      <c r="B12" s="102">
        <v>2022</v>
      </c>
      <c r="C12" s="103"/>
      <c r="D12" s="599"/>
      <c r="E12" s="102"/>
      <c r="F12" s="393" t="e">
        <f>VLOOKUP(I12,BOOKING!$G$1:$N$6584,8,0)</f>
        <v>#N/A</v>
      </c>
      <c r="G12" s="393" t="e">
        <f>VLOOKUP(I12,BOOKING!$G$1:$L$6314,6,0)</f>
        <v>#N/A</v>
      </c>
      <c r="H12" s="388" t="e">
        <f t="shared" si="0"/>
        <v>#N/A</v>
      </c>
      <c r="I12" s="367"/>
      <c r="J12" s="198" t="e">
        <f>VLOOKUP(D12,'Spec Sheet (2)'!$B$4:$GM$49,194,0)</f>
        <v>#N/A</v>
      </c>
      <c r="K12" s="362"/>
      <c r="L12" s="102"/>
      <c r="M12" s="104" t="e">
        <f>VLOOKUP(J12,'Spec Sheet (2)'!$A$4:$C$26703,2,0)</f>
        <v>#N/A</v>
      </c>
      <c r="N12" s="260"/>
      <c r="O12" s="102" t="e">
        <f>VLOOKUP(J12,'Spec Sheet (2)'!$A$4:$ED$15568,134,0)</f>
        <v>#N/A</v>
      </c>
      <c r="P12" s="364"/>
      <c r="Q12" s="397"/>
      <c r="R12" s="355" t="e">
        <f>VLOOKUP(J12,'Spec Sheet (2)'!$A$4:$D$26649,4,0)</f>
        <v>#N/A</v>
      </c>
      <c r="S12" s="105" t="e">
        <f>VLOOKUP(J12,'Spec Sheet (2)'!$A$4:$GD$23938,186,0)</f>
        <v>#N/A</v>
      </c>
      <c r="T12" s="102"/>
      <c r="U12" s="102"/>
      <c r="V12" s="37" t="e">
        <f t="shared" si="1"/>
        <v>#N/A</v>
      </c>
      <c r="W12" s="106" t="e">
        <f t="shared" si="2"/>
        <v>#N/A</v>
      </c>
      <c r="X12" s="107" t="e">
        <f t="shared" si="3"/>
        <v>#N/A</v>
      </c>
      <c r="Y12" s="257" t="e">
        <f>VLOOKUP(M12,'Spec Sheet (2)'!$B$4:$GD$9,185)</f>
        <v>#N/A</v>
      </c>
    </row>
    <row r="13" spans="1:26" ht="16.5" customHeight="1">
      <c r="A13" s="101"/>
      <c r="B13" s="102">
        <v>2022</v>
      </c>
      <c r="C13" s="103"/>
      <c r="D13" s="599"/>
      <c r="E13" s="102"/>
      <c r="F13" s="393" t="e">
        <f>VLOOKUP(I13,BOOKING!$G$1:$N$6584,8,0)</f>
        <v>#N/A</v>
      </c>
      <c r="G13" s="393" t="e">
        <f>VLOOKUP(I13,BOOKING!$G$1:$L$6314,6,0)</f>
        <v>#N/A</v>
      </c>
      <c r="H13" s="388" t="e">
        <f t="shared" si="0"/>
        <v>#N/A</v>
      </c>
      <c r="I13" s="367"/>
      <c r="J13" s="198" t="e">
        <f>VLOOKUP(D13,'Spec Sheet (2)'!$B$4:$GM$49,194,0)</f>
        <v>#N/A</v>
      </c>
      <c r="K13" s="362"/>
      <c r="L13" s="102"/>
      <c r="M13" s="104" t="e">
        <f>VLOOKUP(J13,'Spec Sheet (2)'!$A$4:$C$26703,2,0)</f>
        <v>#N/A</v>
      </c>
      <c r="N13" s="260"/>
      <c r="O13" s="102" t="e">
        <f>VLOOKUP(J13,'Spec Sheet (2)'!$A$4:$ED$15568,134,0)</f>
        <v>#N/A</v>
      </c>
      <c r="P13" s="364"/>
      <c r="Q13" s="397"/>
      <c r="R13" s="355" t="e">
        <f>VLOOKUP(J13,'Spec Sheet (2)'!$A$4:$D$26649,4,0)</f>
        <v>#N/A</v>
      </c>
      <c r="S13" s="105" t="e">
        <f>VLOOKUP(J13,'Spec Sheet (2)'!$A$4:$GD$23938,186,0)</f>
        <v>#N/A</v>
      </c>
      <c r="T13" s="102"/>
      <c r="U13" s="102"/>
      <c r="V13" s="37" t="e">
        <f t="shared" si="1"/>
        <v>#N/A</v>
      </c>
      <c r="W13" s="106" t="e">
        <f t="shared" si="2"/>
        <v>#N/A</v>
      </c>
      <c r="X13" s="107" t="e">
        <f t="shared" si="3"/>
        <v>#N/A</v>
      </c>
      <c r="Y13" s="257" t="e">
        <f>VLOOKUP(M13,'Spec Sheet (2)'!$B$4:$GD$9,185)</f>
        <v>#N/A</v>
      </c>
    </row>
    <row r="14" spans="1:26" ht="16.5" customHeight="1">
      <c r="A14" s="101"/>
      <c r="B14" s="102">
        <v>2022</v>
      </c>
      <c r="C14" s="103"/>
      <c r="D14" s="599"/>
      <c r="E14" s="102"/>
      <c r="F14" s="393" t="e">
        <f>VLOOKUP(I14,BOOKING!$G$1:$N$6584,8,0)</f>
        <v>#N/A</v>
      </c>
      <c r="G14" s="393" t="e">
        <f>VLOOKUP(I14,BOOKING!$G$1:$L$6314,6,0)</f>
        <v>#N/A</v>
      </c>
      <c r="H14" s="388" t="e">
        <f t="shared" si="0"/>
        <v>#N/A</v>
      </c>
      <c r="I14" s="367"/>
      <c r="J14" s="198" t="e">
        <f>VLOOKUP(D14,'Spec Sheet (2)'!$B$4:$GM$49,194,0)</f>
        <v>#N/A</v>
      </c>
      <c r="K14" s="362"/>
      <c r="L14" s="102"/>
      <c r="M14" s="104" t="e">
        <f>VLOOKUP(J14,'Spec Sheet (2)'!$A$4:$C$26703,2,0)</f>
        <v>#N/A</v>
      </c>
      <c r="N14" s="260"/>
      <c r="O14" s="102" t="e">
        <f>VLOOKUP(J14,'Spec Sheet (2)'!$A$4:$ED$15568,134,0)</f>
        <v>#N/A</v>
      </c>
      <c r="P14" s="364"/>
      <c r="Q14" s="397"/>
      <c r="R14" s="355" t="e">
        <f>VLOOKUP(J14,'Spec Sheet (2)'!$A$4:$D$26649,4,0)</f>
        <v>#N/A</v>
      </c>
      <c r="S14" s="105" t="e">
        <f>VLOOKUP(J14,'Spec Sheet (2)'!$A$4:$GD$23938,186,0)</f>
        <v>#N/A</v>
      </c>
      <c r="T14" s="102"/>
      <c r="U14" s="102"/>
      <c r="V14" s="37" t="e">
        <f t="shared" si="1"/>
        <v>#N/A</v>
      </c>
      <c r="W14" s="106" t="e">
        <f t="shared" si="2"/>
        <v>#N/A</v>
      </c>
      <c r="X14" s="107" t="e">
        <f t="shared" si="3"/>
        <v>#N/A</v>
      </c>
      <c r="Y14" s="257" t="e">
        <f>VLOOKUP(M14,'Spec Sheet (2)'!$B$4:$GD$9,185)</f>
        <v>#N/A</v>
      </c>
    </row>
    <row r="15" spans="1:26" ht="16.5" customHeight="1">
      <c r="A15" s="101"/>
      <c r="B15" s="102">
        <v>2022</v>
      </c>
      <c r="C15" s="103"/>
      <c r="D15" s="599"/>
      <c r="E15" s="102"/>
      <c r="F15" s="393" t="e">
        <f>VLOOKUP(I15,BOOKING!$G$1:$N$6584,8,0)</f>
        <v>#N/A</v>
      </c>
      <c r="G15" s="393" t="e">
        <f>VLOOKUP(I15,BOOKING!$G$1:$L$6314,6,0)</f>
        <v>#N/A</v>
      </c>
      <c r="H15" s="388" t="e">
        <f t="shared" si="0"/>
        <v>#N/A</v>
      </c>
      <c r="I15" s="367"/>
      <c r="J15" s="198" t="e">
        <f>VLOOKUP(D15,'Spec Sheet (2)'!$B$4:$GM$49,194,0)</f>
        <v>#N/A</v>
      </c>
      <c r="K15" s="362"/>
      <c r="L15" s="102"/>
      <c r="M15" s="104" t="e">
        <f>VLOOKUP(J15,'Spec Sheet (2)'!$A$4:$C$26703,2,0)</f>
        <v>#N/A</v>
      </c>
      <c r="N15" s="260"/>
      <c r="O15" s="102" t="e">
        <f>VLOOKUP(J15,'Spec Sheet (2)'!$A$4:$ED$15568,134,0)</f>
        <v>#N/A</v>
      </c>
      <c r="P15" s="364"/>
      <c r="Q15" s="397"/>
      <c r="R15" s="355" t="e">
        <f>VLOOKUP(J15,'Spec Sheet (2)'!$A$4:$D$26649,4,0)</f>
        <v>#N/A</v>
      </c>
      <c r="S15" s="105" t="e">
        <f>VLOOKUP(J15,'Spec Sheet (2)'!$A$4:$GD$23938,186,0)</f>
        <v>#N/A</v>
      </c>
      <c r="T15" s="102"/>
      <c r="U15" s="102"/>
      <c r="V15" s="37" t="e">
        <f t="shared" si="1"/>
        <v>#N/A</v>
      </c>
      <c r="W15" s="106" t="e">
        <f t="shared" si="2"/>
        <v>#N/A</v>
      </c>
      <c r="X15" s="107" t="e">
        <f t="shared" si="3"/>
        <v>#N/A</v>
      </c>
      <c r="Y15" s="257" t="e">
        <f>VLOOKUP(M15,'Spec Sheet (2)'!$B$4:$GD$9,185)</f>
        <v>#N/A</v>
      </c>
    </row>
    <row r="16" spans="1:26" ht="16.5" customHeight="1">
      <c r="A16" s="101"/>
      <c r="B16" s="102">
        <v>2022</v>
      </c>
      <c r="C16" s="103"/>
      <c r="D16" s="599"/>
      <c r="E16" s="102"/>
      <c r="F16" s="393" t="e">
        <f>VLOOKUP(I16,BOOKING!$G$1:$N$6584,8,0)</f>
        <v>#N/A</v>
      </c>
      <c r="G16" s="393" t="e">
        <f>VLOOKUP(I16,BOOKING!$G$1:$L$6314,6,0)</f>
        <v>#N/A</v>
      </c>
      <c r="H16" s="388" t="e">
        <f t="shared" si="0"/>
        <v>#N/A</v>
      </c>
      <c r="I16" s="367"/>
      <c r="J16" s="198" t="e">
        <f>VLOOKUP(D16,'Spec Sheet (2)'!$B$4:$GM$49,194,0)</f>
        <v>#N/A</v>
      </c>
      <c r="K16" s="362"/>
      <c r="L16" s="102"/>
      <c r="M16" s="104" t="e">
        <f>VLOOKUP(J16,'Spec Sheet (2)'!$A$4:$C$26703,2,0)</f>
        <v>#N/A</v>
      </c>
      <c r="N16" s="260"/>
      <c r="O16" s="102" t="e">
        <f>VLOOKUP(J16,'Spec Sheet (2)'!$A$4:$ED$15568,134,0)</f>
        <v>#N/A</v>
      </c>
      <c r="P16" s="364"/>
      <c r="Q16" s="397"/>
      <c r="R16" s="355" t="e">
        <f>VLOOKUP(J16,'Spec Sheet (2)'!$A$4:$D$26649,4,0)</f>
        <v>#N/A</v>
      </c>
      <c r="S16" s="105" t="e">
        <f>VLOOKUP(J16,'Spec Sheet (2)'!$A$4:$GD$23938,186,0)</f>
        <v>#N/A</v>
      </c>
      <c r="T16" s="102"/>
      <c r="U16" s="102"/>
      <c r="V16" s="37" t="e">
        <f t="shared" si="1"/>
        <v>#N/A</v>
      </c>
      <c r="W16" s="106" t="e">
        <f t="shared" si="2"/>
        <v>#N/A</v>
      </c>
      <c r="X16" s="107" t="e">
        <f t="shared" si="3"/>
        <v>#N/A</v>
      </c>
      <c r="Y16" s="257" t="e">
        <f>VLOOKUP(M16,'Spec Sheet (2)'!$B$4:$GD$9,185)</f>
        <v>#N/A</v>
      </c>
    </row>
    <row r="17" spans="1:25" ht="16.5" customHeight="1">
      <c r="A17" s="101"/>
      <c r="B17" s="102">
        <v>2022</v>
      </c>
      <c r="C17" s="103"/>
      <c r="D17" s="599"/>
      <c r="E17" s="102"/>
      <c r="F17" s="393" t="e">
        <f>VLOOKUP(I17,BOOKING!$G$1:$N$6584,8,0)</f>
        <v>#N/A</v>
      </c>
      <c r="G17" s="393" t="e">
        <f>VLOOKUP(I17,BOOKING!$G$1:$L$6314,6,0)</f>
        <v>#N/A</v>
      </c>
      <c r="H17" s="388" t="e">
        <f t="shared" si="0"/>
        <v>#N/A</v>
      </c>
      <c r="I17" s="367"/>
      <c r="J17" s="198" t="e">
        <f>VLOOKUP(D17,'Spec Sheet (2)'!$B$4:$GM$49,194,0)</f>
        <v>#N/A</v>
      </c>
      <c r="K17" s="362"/>
      <c r="L17" s="102"/>
      <c r="M17" s="104" t="e">
        <f>VLOOKUP(J17,'Spec Sheet (2)'!$A$4:$C$26703,2,0)</f>
        <v>#N/A</v>
      </c>
      <c r="N17" s="260"/>
      <c r="O17" s="102" t="e">
        <f>VLOOKUP(J17,'Spec Sheet (2)'!$A$4:$ED$15568,134,0)</f>
        <v>#N/A</v>
      </c>
      <c r="P17" s="364"/>
      <c r="Q17" s="397"/>
      <c r="R17" s="355" t="e">
        <f>VLOOKUP(J17,'Spec Sheet (2)'!$A$4:$D$26649,4,0)</f>
        <v>#N/A</v>
      </c>
      <c r="S17" s="105" t="e">
        <f>VLOOKUP(J17,'Spec Sheet (2)'!$A$4:$GD$23938,186,0)</f>
        <v>#N/A</v>
      </c>
      <c r="T17" s="102"/>
      <c r="U17" s="102"/>
      <c r="V17" s="37" t="e">
        <f t="shared" si="1"/>
        <v>#N/A</v>
      </c>
      <c r="W17" s="106" t="e">
        <f t="shared" si="2"/>
        <v>#N/A</v>
      </c>
      <c r="X17" s="107" t="e">
        <f t="shared" si="3"/>
        <v>#N/A</v>
      </c>
      <c r="Y17" s="257" t="e">
        <f>VLOOKUP(M17,'Spec Sheet (2)'!$B$4:$GD$9,185)</f>
        <v>#N/A</v>
      </c>
    </row>
    <row r="18" spans="1:25" ht="16.5" customHeight="1">
      <c r="A18" s="696"/>
      <c r="B18" s="669">
        <v>2022</v>
      </c>
      <c r="C18" s="697"/>
      <c r="D18" s="698"/>
      <c r="E18" s="669"/>
      <c r="F18" s="699" t="e">
        <f>VLOOKUP(I18,BOOKING!$G$1:$N$6584,8,0)</f>
        <v>#N/A</v>
      </c>
      <c r="G18" s="699" t="e">
        <f>VLOOKUP(I18,BOOKING!$G$1:$L$6314,6,0)</f>
        <v>#N/A</v>
      </c>
      <c r="H18" s="700" t="e">
        <f t="shared" si="0"/>
        <v>#N/A</v>
      </c>
      <c r="I18" s="701"/>
      <c r="J18" s="702" t="e">
        <f>VLOOKUP(D18,'Spec Sheet (2)'!$B$4:$GM$49,194,0)</f>
        <v>#N/A</v>
      </c>
      <c r="K18" s="703"/>
      <c r="L18" s="669"/>
      <c r="M18" s="704" t="e">
        <f>VLOOKUP(J18,'Spec Sheet (2)'!$A$4:$C$26703,2,0)</f>
        <v>#N/A</v>
      </c>
      <c r="N18" s="705"/>
      <c r="O18" s="669" t="e">
        <f>VLOOKUP(J18,'Spec Sheet (2)'!$A$4:$ED$15568,134,0)</f>
        <v>#N/A</v>
      </c>
      <c r="P18" s="706"/>
      <c r="Q18" s="707"/>
      <c r="R18" s="708" t="e">
        <f>VLOOKUP(J18,'Spec Sheet (2)'!$A$4:$D$26649,4,0)</f>
        <v>#N/A</v>
      </c>
      <c r="S18" s="709" t="e">
        <f>VLOOKUP(J18,'Spec Sheet (2)'!$A$4:$GD$23938,186,0)</f>
        <v>#N/A</v>
      </c>
      <c r="T18" s="669"/>
      <c r="U18" s="669"/>
      <c r="V18" s="37" t="e">
        <f t="shared" si="1"/>
        <v>#N/A</v>
      </c>
      <c r="W18" s="106" t="e">
        <f t="shared" si="2"/>
        <v>#N/A</v>
      </c>
      <c r="X18" s="107" t="e">
        <f t="shared" si="3"/>
        <v>#N/A</v>
      </c>
      <c r="Y18" s="710" t="e">
        <f>VLOOKUP(M18,'Spec Sheet (2)'!$B$4:$GD$9,185)</f>
        <v>#N/A</v>
      </c>
    </row>
  </sheetData>
  <autoFilter ref="A2:Z2" xr:uid="{00000000-0009-0000-0000-000002000000}"/>
  <mergeCells count="1">
    <mergeCell ref="A1:D1"/>
  </mergeCells>
  <phoneticPr fontId="54" type="noConversion"/>
  <conditionalFormatting sqref="I1:I2">
    <cfRule type="duplicateValues" dxfId="231" priority="1573238" stopIfTrue="1"/>
  </conditionalFormatting>
  <conditionalFormatting sqref="I1:I1048576">
    <cfRule type="duplicateValues" dxfId="230" priority="3224742"/>
    <cfRule type="duplicateValues" dxfId="229" priority="3224745"/>
    <cfRule type="duplicateValues" dxfId="228" priority="3224746"/>
    <cfRule type="duplicateValues" dxfId="227" priority="3224747"/>
    <cfRule type="duplicateValues" dxfId="226" priority="3224748"/>
    <cfRule type="duplicateValues" dxfId="225" priority="3224749"/>
    <cfRule type="duplicateValues" dxfId="224" priority="3224750"/>
    <cfRule type="duplicateValues" dxfId="223" priority="3224751"/>
    <cfRule type="duplicateValues" dxfId="222" priority="3224752"/>
    <cfRule type="duplicateValues" dxfId="221" priority="3224753"/>
    <cfRule type="duplicateValues" dxfId="220" priority="3224754"/>
    <cfRule type="duplicateValues" dxfId="219" priority="3224755"/>
    <cfRule type="duplicateValues" dxfId="218" priority="3224756"/>
  </conditionalFormatting>
  <conditionalFormatting sqref="I2 A1">
    <cfRule type="duplicateValues" dxfId="217" priority="1573243" stopIfTrue="1"/>
  </conditionalFormatting>
  <conditionalFormatting sqref="I3:I1048576">
    <cfRule type="duplicateValues" dxfId="216" priority="3224781"/>
  </conditionalFormatting>
  <conditionalFormatting sqref="K1:K1048576">
    <cfRule type="duplicateValues" dxfId="215" priority="3205583"/>
  </conditionalFormatting>
  <conditionalFormatting sqref="M1 O1 Q1 S1 U1:V1 X1 Z1 K1:K2">
    <cfRule type="duplicateValues" dxfId="214" priority="2739317" stopIfTrue="1"/>
  </conditionalFormatting>
  <pageMargins left="0.25" right="0.25" top="0.75" bottom="0.75" header="0.3" footer="0.3"/>
  <pageSetup paperSize="9" scale="1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0000"/>
    <pageSetUpPr fitToPage="1"/>
  </sheetPr>
  <dimension ref="A1:DF11"/>
  <sheetViews>
    <sheetView zoomScale="83" zoomScaleNormal="83" zoomScaleSheetLayoutView="100" workbookViewId="0">
      <pane xSplit="13" ySplit="3" topLeftCell="CH4" activePane="bottomRight" state="frozen"/>
      <selection activeCell="D3" sqref="A3:XFD443"/>
      <selection pane="topRight" activeCell="D3" sqref="A3:XFD443"/>
      <selection pane="bottomLeft" activeCell="D3" sqref="A3:XFD443"/>
      <selection pane="bottomRight" activeCell="L18" sqref="L18"/>
    </sheetView>
  </sheetViews>
  <sheetFormatPr defaultColWidth="9.140625" defaultRowHeight="15"/>
  <cols>
    <col min="1" max="1" width="0.140625" style="426" customWidth="1"/>
    <col min="2" max="2" width="3.7109375" style="519" customWidth="1"/>
    <col min="3" max="3" width="6.140625" style="519" hidden="1" customWidth="1"/>
    <col min="4" max="4" width="3.5703125" style="519" hidden="1" customWidth="1"/>
    <col min="5" max="5" width="2.42578125" style="580" hidden="1" customWidth="1"/>
    <col min="6" max="6" width="5.28515625" style="581" customWidth="1"/>
    <col min="7" max="7" width="4.42578125" style="582" customWidth="1"/>
    <col min="8" max="8" width="10.85546875" style="608" customWidth="1"/>
    <col min="9" max="9" width="6.140625" style="580" customWidth="1"/>
    <col min="10" max="10" width="7.140625" style="583" customWidth="1"/>
    <col min="11" max="11" width="9.7109375" style="584" bestFit="1" customWidth="1"/>
    <col min="12" max="12" width="53" style="583" customWidth="1"/>
    <col min="13" max="13" width="8.5703125" style="399" bestFit="1" customWidth="1"/>
    <col min="14" max="14" width="9.42578125" style="585" customWidth="1"/>
    <col min="15" max="15" width="6.42578125" style="586" customWidth="1"/>
    <col min="16" max="16" width="9.7109375" style="400" customWidth="1"/>
    <col min="17" max="17" width="6.140625" style="583" customWidth="1"/>
    <col min="18" max="18" width="9.42578125" style="597" customWidth="1"/>
    <col min="19" max="19" width="4.7109375" style="519" customWidth="1"/>
    <col min="20" max="20" width="8.42578125" style="579" customWidth="1"/>
    <col min="21" max="21" width="6.7109375" style="579" customWidth="1"/>
    <col min="22" max="22" width="11.85546875" style="519" hidden="1" customWidth="1"/>
    <col min="23" max="23" width="9.28515625" style="519" hidden="1" customWidth="1"/>
    <col min="24" max="24" width="7.5703125" style="587" customWidth="1"/>
    <col min="25" max="25" width="8" style="588" hidden="1" customWidth="1"/>
    <col min="26" max="26" width="8.42578125" style="519" hidden="1" customWidth="1"/>
    <col min="27" max="27" width="7.85546875" style="519" hidden="1" customWidth="1"/>
    <col min="28" max="28" width="11.7109375" style="519" hidden="1" customWidth="1"/>
    <col min="29" max="29" width="15.5703125" style="519" hidden="1" customWidth="1"/>
    <col min="30" max="30" width="14.7109375" style="519" hidden="1" customWidth="1"/>
    <col min="31" max="31" width="14" style="519" hidden="1" customWidth="1"/>
    <col min="32" max="32" width="7.85546875" style="519" hidden="1" customWidth="1"/>
    <col min="33" max="33" width="7.7109375" style="519" hidden="1" customWidth="1"/>
    <col min="34" max="34" width="7.85546875" style="519" hidden="1" customWidth="1"/>
    <col min="35" max="35" width="9.140625" style="589" customWidth="1"/>
    <col min="36" max="36" width="7.42578125" style="590" customWidth="1"/>
    <col min="37" max="37" width="8" style="590" customWidth="1"/>
    <col min="38" max="38" width="9" style="589" customWidth="1"/>
    <col min="39" max="39" width="8.5703125" style="589" customWidth="1"/>
    <col min="40" max="40" width="6.7109375" style="589" customWidth="1"/>
    <col min="41" max="41" width="7.140625" style="590" customWidth="1"/>
    <col min="42" max="42" width="9.140625" style="590" hidden="1" customWidth="1"/>
    <col min="43" max="43" width="8.5703125" style="589" customWidth="1"/>
    <col min="44" max="44" width="8.28515625" style="589" customWidth="1"/>
    <col min="45" max="45" width="8.140625" style="589" customWidth="1"/>
    <col min="46" max="46" width="6.85546875" style="590" customWidth="1"/>
    <col min="47" max="47" width="7.42578125" style="590" hidden="1" customWidth="1"/>
    <col min="48" max="48" width="7.5703125" style="590" customWidth="1"/>
    <col min="49" max="49" width="7" style="589" customWidth="1"/>
    <col min="50" max="50" width="7.28515625" style="589" customWidth="1"/>
    <col min="51" max="51" width="7.85546875" style="590" customWidth="1"/>
    <col min="52" max="52" width="7.140625" style="590" customWidth="1"/>
    <col min="53" max="53" width="6.7109375" style="591" customWidth="1"/>
    <col min="54" max="54" width="7.5703125" style="587" customWidth="1"/>
    <col min="55" max="55" width="25.140625" style="579" customWidth="1"/>
    <col min="56" max="57" width="0.140625" style="579" customWidth="1"/>
    <col min="58" max="58" width="7" style="579" customWidth="1"/>
    <col min="59" max="59" width="6.85546875" style="579" customWidth="1"/>
    <col min="60" max="60" width="6.140625" style="579" customWidth="1"/>
    <col min="61" max="61" width="4.7109375" style="579" hidden="1" customWidth="1"/>
    <col min="62" max="62" width="8.42578125" style="579" hidden="1" customWidth="1"/>
    <col min="63" max="63" width="34.28515625" style="579" customWidth="1"/>
    <col min="64" max="64" width="0.140625" style="579" customWidth="1"/>
    <col min="65" max="65" width="4.5703125" style="579" hidden="1" customWidth="1"/>
    <col min="66" max="66" width="7.42578125" style="579" customWidth="1"/>
    <col min="67" max="67" width="5.85546875" style="579" customWidth="1"/>
    <col min="68" max="68" width="6.85546875" style="579" customWidth="1"/>
    <col min="69" max="69" width="7.28515625" style="579" hidden="1" customWidth="1"/>
    <col min="70" max="70" width="7.140625" style="579" hidden="1" customWidth="1"/>
    <col min="71" max="71" width="6" style="579" hidden="1" customWidth="1"/>
    <col min="72" max="72" width="25.42578125" style="579" customWidth="1"/>
    <col min="73" max="73" width="3.85546875" style="579" hidden="1" customWidth="1"/>
    <col min="74" max="74" width="11" style="579" hidden="1" customWidth="1"/>
    <col min="75" max="75" width="9.42578125" style="579" bestFit="1" customWidth="1"/>
    <col min="76" max="76" width="7.85546875" style="579" customWidth="1"/>
    <col min="77" max="77" width="5.140625" style="579" customWidth="1"/>
    <col min="78" max="78" width="7.7109375" style="579" customWidth="1"/>
    <col min="79" max="79" width="6.5703125" style="579" customWidth="1"/>
    <col min="80" max="80" width="0.140625" style="579" customWidth="1"/>
    <col min="81" max="91" width="9.42578125" style="579" customWidth="1"/>
    <col min="92" max="92" width="7.42578125" style="579" customWidth="1"/>
    <col min="93" max="93" width="18.42578125" style="592" customWidth="1"/>
    <col min="94" max="94" width="6.140625" style="593" customWidth="1"/>
    <col min="95" max="96" width="10.28515625" style="519" customWidth="1"/>
    <col min="97" max="97" width="11.85546875" style="519" customWidth="1"/>
    <col min="98" max="98" width="10.42578125" style="583" customWidth="1"/>
    <col min="99" max="99" width="9.28515625" style="519" bestFit="1" customWidth="1"/>
    <col min="100" max="16384" width="9.140625" style="519"/>
  </cols>
  <sheetData>
    <row r="1" spans="1:110" s="426" customFormat="1">
      <c r="A1" s="408" t="s">
        <v>209</v>
      </c>
      <c r="B1" s="409"/>
      <c r="C1" s="409"/>
      <c r="D1" s="409"/>
      <c r="E1" s="410"/>
      <c r="F1" s="411"/>
      <c r="G1" s="412"/>
      <c r="H1" s="606"/>
      <c r="I1" s="410"/>
      <c r="J1" s="413"/>
      <c r="K1" s="414"/>
      <c r="L1" s="413">
        <v>2</v>
      </c>
      <c r="M1" s="288">
        <v>3</v>
      </c>
      <c r="N1" s="415"/>
      <c r="O1" s="416">
        <v>5</v>
      </c>
      <c r="P1" s="347">
        <v>6</v>
      </c>
      <c r="Q1" s="417">
        <v>7</v>
      </c>
      <c r="R1" s="594">
        <v>8</v>
      </c>
      <c r="S1" s="418">
        <v>9</v>
      </c>
      <c r="T1" s="347">
        <v>10</v>
      </c>
      <c r="U1" s="347">
        <v>11</v>
      </c>
      <c r="V1" s="419">
        <v>12</v>
      </c>
      <c r="W1" s="419">
        <v>13</v>
      </c>
      <c r="X1" s="420">
        <v>14</v>
      </c>
      <c r="Y1" s="419">
        <v>15</v>
      </c>
      <c r="Z1" s="419">
        <v>16</v>
      </c>
      <c r="AA1" s="419">
        <v>17</v>
      </c>
      <c r="AB1" s="419">
        <v>18</v>
      </c>
      <c r="AC1" s="419">
        <v>19</v>
      </c>
      <c r="AD1" s="419">
        <v>20</v>
      </c>
      <c r="AE1" s="419">
        <v>21</v>
      </c>
      <c r="AF1" s="419">
        <v>22</v>
      </c>
      <c r="AG1" s="419">
        <v>23</v>
      </c>
      <c r="AH1" s="419">
        <v>24</v>
      </c>
      <c r="AI1" s="418">
        <v>25</v>
      </c>
      <c r="AJ1" s="347">
        <v>26</v>
      </c>
      <c r="AK1" s="421">
        <v>27</v>
      </c>
      <c r="AL1" s="418">
        <v>28</v>
      </c>
      <c r="AM1" s="418">
        <v>29</v>
      </c>
      <c r="AN1" s="418">
        <v>30</v>
      </c>
      <c r="AO1" s="347">
        <v>31</v>
      </c>
      <c r="AP1" s="421">
        <v>32</v>
      </c>
      <c r="AQ1" s="418">
        <v>33</v>
      </c>
      <c r="AR1" s="418">
        <v>34</v>
      </c>
      <c r="AS1" s="418">
        <v>35</v>
      </c>
      <c r="AT1" s="347">
        <v>36</v>
      </c>
      <c r="AU1" s="421">
        <v>37</v>
      </c>
      <c r="AV1" s="347">
        <v>38</v>
      </c>
      <c r="AW1" s="418">
        <v>39</v>
      </c>
      <c r="AX1" s="418">
        <v>40</v>
      </c>
      <c r="AY1" s="347">
        <v>41</v>
      </c>
      <c r="AZ1" s="347">
        <v>42</v>
      </c>
      <c r="BA1" s="347">
        <v>43</v>
      </c>
      <c r="BB1" s="422">
        <v>44</v>
      </c>
      <c r="BC1" s="347">
        <v>45</v>
      </c>
      <c r="BD1" s="421">
        <v>46</v>
      </c>
      <c r="BE1" s="421">
        <v>47</v>
      </c>
      <c r="BF1" s="347">
        <v>48</v>
      </c>
      <c r="BG1" s="423">
        <v>49</v>
      </c>
      <c r="BH1" s="423">
        <v>50</v>
      </c>
      <c r="BI1" s="421">
        <v>51</v>
      </c>
      <c r="BJ1" s="421">
        <v>52</v>
      </c>
      <c r="BK1" s="347">
        <v>53</v>
      </c>
      <c r="BL1" s="421">
        <v>54</v>
      </c>
      <c r="BM1" s="421">
        <v>55</v>
      </c>
      <c r="BN1" s="347">
        <v>56</v>
      </c>
      <c r="BO1" s="347">
        <v>57</v>
      </c>
      <c r="BP1" s="347">
        <v>58</v>
      </c>
      <c r="BQ1" s="421">
        <v>59</v>
      </c>
      <c r="BR1" s="421">
        <v>60</v>
      </c>
      <c r="BS1" s="421">
        <v>61</v>
      </c>
      <c r="BT1" s="347">
        <v>62</v>
      </c>
      <c r="BU1" s="421">
        <v>63</v>
      </c>
      <c r="BV1" s="421">
        <v>64</v>
      </c>
      <c r="BW1" s="347">
        <v>65</v>
      </c>
      <c r="BX1" s="347">
        <v>66</v>
      </c>
      <c r="BY1" s="347">
        <v>67</v>
      </c>
      <c r="BZ1" s="347">
        <v>68</v>
      </c>
      <c r="CA1" s="347">
        <v>69</v>
      </c>
      <c r="CB1" s="347">
        <v>70</v>
      </c>
      <c r="CC1" s="347">
        <v>71</v>
      </c>
      <c r="CD1" s="347">
        <v>72</v>
      </c>
      <c r="CE1" s="347">
        <v>73</v>
      </c>
      <c r="CF1" s="347">
        <v>74</v>
      </c>
      <c r="CG1" s="347">
        <v>75</v>
      </c>
      <c r="CH1" s="347">
        <v>76</v>
      </c>
      <c r="CI1" s="347">
        <v>77</v>
      </c>
      <c r="CJ1" s="347">
        <v>78</v>
      </c>
      <c r="CK1" s="347">
        <v>79</v>
      </c>
      <c r="CL1" s="347">
        <v>80</v>
      </c>
      <c r="CM1" s="347">
        <v>81</v>
      </c>
      <c r="CN1" s="347">
        <v>82</v>
      </c>
      <c r="CO1" s="347">
        <v>83</v>
      </c>
      <c r="CP1" s="424">
        <v>84</v>
      </c>
      <c r="CQ1" s="425">
        <v>85</v>
      </c>
      <c r="CR1" s="425"/>
      <c r="CS1" s="425"/>
      <c r="CT1" s="425"/>
      <c r="CU1" s="425"/>
      <c r="CV1" s="425">
        <v>90</v>
      </c>
      <c r="CW1" s="425"/>
      <c r="CX1" s="425"/>
      <c r="CY1" s="425"/>
      <c r="CZ1" s="425"/>
      <c r="DA1" s="425"/>
      <c r="DB1" s="425"/>
      <c r="DC1" s="425"/>
      <c r="DD1" s="425"/>
      <c r="DE1" s="425"/>
      <c r="DF1" s="425"/>
    </row>
    <row r="2" spans="1:110" ht="18" customHeight="1">
      <c r="A2" s="427"/>
      <c r="B2" s="428"/>
      <c r="C2" s="348"/>
      <c r="D2" s="429"/>
      <c r="E2" s="430"/>
      <c r="F2" s="431"/>
      <c r="G2" s="432" t="s">
        <v>99</v>
      </c>
      <c r="H2" s="433"/>
      <c r="I2" s="434"/>
      <c r="J2" s="435"/>
      <c r="K2" s="436"/>
      <c r="L2" s="437"/>
      <c r="M2" s="289"/>
      <c r="N2" s="438"/>
      <c r="O2" s="439"/>
      <c r="P2" s="348" t="s">
        <v>264</v>
      </c>
      <c r="Q2" s="440">
        <v>45537</v>
      </c>
      <c r="R2" s="402"/>
      <c r="S2" s="428"/>
      <c r="T2" s="441" t="s">
        <v>290</v>
      </c>
      <c r="U2" s="441"/>
      <c r="V2" s="442"/>
      <c r="W2" s="442"/>
      <c r="X2" s="442"/>
      <c r="Y2" s="442"/>
      <c r="Z2" s="443"/>
      <c r="AA2" s="443"/>
      <c r="AB2" s="443"/>
      <c r="AC2" s="444"/>
      <c r="AD2" s="435"/>
      <c r="AE2" s="428"/>
      <c r="AF2" s="428"/>
      <c r="AG2" s="428"/>
      <c r="AH2" s="428"/>
      <c r="AI2" s="445"/>
      <c r="AJ2" s="446" t="s">
        <v>214</v>
      </c>
      <c r="AK2" s="447" t="s">
        <v>214</v>
      </c>
      <c r="AL2" s="448" t="s">
        <v>275</v>
      </c>
      <c r="AM2" s="449"/>
      <c r="AN2" s="449"/>
      <c r="AO2" s="446" t="s">
        <v>299</v>
      </c>
      <c r="AP2" s="450"/>
      <c r="AQ2" s="451" t="s">
        <v>178</v>
      </c>
      <c r="AR2" s="451"/>
      <c r="AS2" s="451"/>
      <c r="AT2" s="446" t="s">
        <v>130</v>
      </c>
      <c r="AU2" s="452"/>
      <c r="AV2" s="453" t="s">
        <v>285</v>
      </c>
      <c r="AW2" s="454"/>
      <c r="AX2" s="454"/>
      <c r="AY2" s="446" t="s">
        <v>150</v>
      </c>
      <c r="AZ2" s="453"/>
      <c r="BA2" s="455"/>
      <c r="BB2" s="456"/>
      <c r="BC2" s="457" t="s">
        <v>177</v>
      </c>
      <c r="BD2" s="457"/>
      <c r="BE2" s="457"/>
      <c r="BF2" s="457"/>
      <c r="BG2" s="458"/>
      <c r="BH2" s="458"/>
      <c r="BI2" s="459"/>
      <c r="BJ2" s="460"/>
      <c r="BK2" s="461" t="s">
        <v>178</v>
      </c>
      <c r="BL2" s="461"/>
      <c r="BM2" s="461"/>
      <c r="BN2" s="461"/>
      <c r="BO2" s="462"/>
      <c r="BP2" s="462"/>
      <c r="BQ2" s="462"/>
      <c r="BR2" s="462"/>
      <c r="BS2" s="462"/>
      <c r="BT2" s="463" t="s">
        <v>150</v>
      </c>
      <c r="BU2" s="463"/>
      <c r="BV2" s="463"/>
      <c r="BW2" s="463"/>
      <c r="BX2" s="464"/>
      <c r="BY2" s="464"/>
      <c r="BZ2" s="464"/>
      <c r="CA2" s="462"/>
      <c r="CB2" s="464"/>
      <c r="CC2" s="465"/>
      <c r="CD2" s="465"/>
      <c r="CE2" s="465"/>
      <c r="CF2" s="466"/>
      <c r="CG2" s="466"/>
      <c r="CH2" s="466"/>
      <c r="CI2" s="466"/>
      <c r="CJ2" s="466"/>
      <c r="CK2" s="465"/>
      <c r="CL2" s="467"/>
      <c r="CM2" s="467"/>
      <c r="CN2" s="467"/>
      <c r="CO2" s="468"/>
      <c r="CP2" s="469"/>
      <c r="CQ2" s="470"/>
      <c r="CR2" s="470"/>
      <c r="CS2" s="470"/>
      <c r="CT2" s="470"/>
      <c r="CU2" s="470"/>
      <c r="CV2" s="610"/>
    </row>
    <row r="3" spans="1:110" ht="37.5" customHeight="1" thickBot="1">
      <c r="A3" s="471" t="s">
        <v>180</v>
      </c>
      <c r="B3" s="472" t="s">
        <v>258</v>
      </c>
      <c r="C3" s="472" t="s">
        <v>215</v>
      </c>
      <c r="D3" s="472" t="s">
        <v>216</v>
      </c>
      <c r="E3" s="473"/>
      <c r="F3" s="474" t="s">
        <v>374</v>
      </c>
      <c r="G3" s="475" t="s">
        <v>394</v>
      </c>
      <c r="H3" s="476" t="s">
        <v>320</v>
      </c>
      <c r="I3" s="477" t="s">
        <v>210</v>
      </c>
      <c r="J3" s="472" t="s">
        <v>318</v>
      </c>
      <c r="K3" s="478" t="s">
        <v>180</v>
      </c>
      <c r="L3" s="604" t="s">
        <v>12</v>
      </c>
      <c r="M3" s="379" t="s">
        <v>441</v>
      </c>
      <c r="N3" s="479" t="s">
        <v>269</v>
      </c>
      <c r="O3" s="480" t="s">
        <v>257</v>
      </c>
      <c r="P3" s="349" t="s">
        <v>111</v>
      </c>
      <c r="Q3" s="481" t="s">
        <v>200</v>
      </c>
      <c r="R3" s="595" t="s">
        <v>471</v>
      </c>
      <c r="S3" s="482" t="s">
        <v>114</v>
      </c>
      <c r="T3" s="483" t="s">
        <v>289</v>
      </c>
      <c r="U3" s="483" t="s">
        <v>112</v>
      </c>
      <c r="V3" s="484" t="s">
        <v>207</v>
      </c>
      <c r="W3" s="485" t="s">
        <v>114</v>
      </c>
      <c r="X3" s="486" t="s">
        <v>288</v>
      </c>
      <c r="Y3" s="487" t="s">
        <v>112</v>
      </c>
      <c r="Z3" s="488" t="s">
        <v>321</v>
      </c>
      <c r="AA3" s="482" t="s">
        <v>114</v>
      </c>
      <c r="AB3" s="482" t="s">
        <v>181</v>
      </c>
      <c r="AC3" s="489" t="s">
        <v>381</v>
      </c>
      <c r="AD3" s="481" t="s">
        <v>112</v>
      </c>
      <c r="AE3" s="482" t="s">
        <v>183</v>
      </c>
      <c r="AF3" s="490" t="s">
        <v>184</v>
      </c>
      <c r="AG3" s="490" t="s">
        <v>185</v>
      </c>
      <c r="AH3" s="490" t="s">
        <v>186</v>
      </c>
      <c r="AI3" s="491" t="s">
        <v>273</v>
      </c>
      <c r="AJ3" s="492" t="s">
        <v>274</v>
      </c>
      <c r="AK3" s="493" t="s">
        <v>279</v>
      </c>
      <c r="AL3" s="494" t="s">
        <v>276</v>
      </c>
      <c r="AM3" s="494" t="s">
        <v>263</v>
      </c>
      <c r="AN3" s="494" t="s">
        <v>277</v>
      </c>
      <c r="AO3" s="495" t="s">
        <v>278</v>
      </c>
      <c r="AP3" s="496" t="s">
        <v>280</v>
      </c>
      <c r="AQ3" s="497" t="s">
        <v>276</v>
      </c>
      <c r="AR3" s="497" t="s">
        <v>263</v>
      </c>
      <c r="AS3" s="497" t="s">
        <v>281</v>
      </c>
      <c r="AT3" s="495" t="s">
        <v>282</v>
      </c>
      <c r="AU3" s="498" t="s">
        <v>283</v>
      </c>
      <c r="AV3" s="499" t="s">
        <v>276</v>
      </c>
      <c r="AW3" s="500" t="s">
        <v>263</v>
      </c>
      <c r="AX3" s="500" t="s">
        <v>281</v>
      </c>
      <c r="AY3" s="495" t="s">
        <v>282</v>
      </c>
      <c r="AZ3" s="499" t="s">
        <v>283</v>
      </c>
      <c r="BA3" s="501" t="s">
        <v>284</v>
      </c>
      <c r="BB3" s="502" t="s">
        <v>370</v>
      </c>
      <c r="BC3" s="349" t="s">
        <v>398</v>
      </c>
      <c r="BD3" s="349" t="s">
        <v>202</v>
      </c>
      <c r="BE3" s="349" t="s">
        <v>201</v>
      </c>
      <c r="BF3" s="503" t="s">
        <v>379</v>
      </c>
      <c r="BG3" s="504" t="s">
        <v>203</v>
      </c>
      <c r="BH3" s="504" t="s">
        <v>217</v>
      </c>
      <c r="BI3" s="505"/>
      <c r="BJ3" s="349" t="s">
        <v>372</v>
      </c>
      <c r="BK3" s="349" t="s">
        <v>187</v>
      </c>
      <c r="BL3" s="349" t="s">
        <v>188</v>
      </c>
      <c r="BM3" s="349" t="s">
        <v>189</v>
      </c>
      <c r="BN3" s="506" t="s">
        <v>190</v>
      </c>
      <c r="BO3" s="349" t="s">
        <v>203</v>
      </c>
      <c r="BP3" s="349" t="s">
        <v>217</v>
      </c>
      <c r="BQ3" s="349" t="s">
        <v>218</v>
      </c>
      <c r="BR3" s="349" t="s">
        <v>179</v>
      </c>
      <c r="BS3" s="507" t="s">
        <v>191</v>
      </c>
      <c r="BT3" s="349" t="s">
        <v>192</v>
      </c>
      <c r="BU3" s="349" t="s">
        <v>193</v>
      </c>
      <c r="BV3" s="349" t="s">
        <v>194</v>
      </c>
      <c r="BW3" s="506" t="s">
        <v>195</v>
      </c>
      <c r="BX3" s="349" t="s">
        <v>203</v>
      </c>
      <c r="BY3" s="349" t="s">
        <v>217</v>
      </c>
      <c r="BZ3" s="508" t="s">
        <v>394</v>
      </c>
      <c r="CA3" s="509" t="s">
        <v>124</v>
      </c>
      <c r="CB3" s="510" t="s">
        <v>191</v>
      </c>
      <c r="CC3" s="511" t="s">
        <v>196</v>
      </c>
      <c r="CD3" s="511" t="s">
        <v>250</v>
      </c>
      <c r="CE3" s="511" t="s">
        <v>251</v>
      </c>
      <c r="CF3" s="512" t="s">
        <v>197</v>
      </c>
      <c r="CG3" s="512" t="s">
        <v>198</v>
      </c>
      <c r="CH3" s="512" t="s">
        <v>199</v>
      </c>
      <c r="CI3" s="512" t="s">
        <v>204</v>
      </c>
      <c r="CJ3" s="512" t="s">
        <v>294</v>
      </c>
      <c r="CK3" s="511" t="s">
        <v>182</v>
      </c>
      <c r="CL3" s="513" t="s">
        <v>205</v>
      </c>
      <c r="CM3" s="513" t="s">
        <v>293</v>
      </c>
      <c r="CN3" s="513" t="s">
        <v>292</v>
      </c>
      <c r="CO3" s="514" t="s">
        <v>151</v>
      </c>
      <c r="CP3" s="515" t="s">
        <v>295</v>
      </c>
      <c r="CQ3" s="516" t="s">
        <v>1025</v>
      </c>
      <c r="CR3" s="517"/>
      <c r="CS3" s="517"/>
      <c r="CT3" s="517"/>
      <c r="CU3" s="518"/>
    </row>
    <row r="4" spans="1:110" ht="17.25" customHeight="1">
      <c r="A4" s="521" t="str">
        <f t="shared" ref="A4:A11" si="0">K4</f>
        <v>SO-1</v>
      </c>
      <c r="B4" s="522" t="str">
        <f>VLOOKUP(L4,'Spec Sheet (2)'!$A$4:$GD$26703,186,0)</f>
        <v>SNACKS</v>
      </c>
      <c r="C4" s="523"/>
      <c r="D4" s="524"/>
      <c r="E4" s="525"/>
      <c r="F4" s="526" t="str">
        <f>VLOOKUP(L4,'Spec Sheet (2)'!$A$4:$S$9,19,0)</f>
        <v>CC  Met Pet  ( OD 2.2+)</v>
      </c>
      <c r="G4" s="527">
        <f>VLOOKUP(L4,'Spec Sheet (2)'!$A$4:$B$739,2,0)</f>
        <v>1005</v>
      </c>
      <c r="H4" s="607">
        <f>VLOOKUP(K4,'ORDER BOOK'!$I$3:$W$18,15,0)</f>
        <v>46141</v>
      </c>
      <c r="I4" s="528"/>
      <c r="J4" s="528" t="str">
        <f>VLOOKUP(L4,'Spec Sheet (2)'!$A$4:$CV$26703,100,0)</f>
        <v>ECL- Job</v>
      </c>
      <c r="K4" s="578" t="s">
        <v>994</v>
      </c>
      <c r="L4" s="171" t="s">
        <v>1006</v>
      </c>
      <c r="M4" s="287" t="str">
        <f>VLOOKUP(K4,'ORDER BOOK'!$I$3:$K$18,3,0)</f>
        <v>C-1</v>
      </c>
      <c r="N4" s="530"/>
      <c r="O4" s="531" t="str">
        <f t="shared" ref="O4:O11" si="1">IF(X4+AM4+AR4+AW4=0,"BAL",IF(AJ4+AO4+AT4+AY4=0,"COMPLETED","BAL"))</f>
        <v>BAL</v>
      </c>
      <c r="P4" s="350">
        <f t="shared" ref="P4:P11" si="2">IF(S4="KG",R4*Q4,R4/1000*Q4)</f>
        <v>1000</v>
      </c>
      <c r="Q4" s="532">
        <v>1</v>
      </c>
      <c r="R4" s="596">
        <v>1000</v>
      </c>
      <c r="S4" s="533" t="s">
        <v>113</v>
      </c>
      <c r="T4" s="534">
        <f t="shared" ref="T4:T11" si="3">(CC4+CF4)*P4*CL4/CK4</f>
        <v>307.30023018743827</v>
      </c>
      <c r="U4" s="535">
        <f t="shared" ref="U4:U11" si="4">T4/BE4/(CC4+CF4)</f>
        <v>15.345829222843362</v>
      </c>
      <c r="V4" s="536">
        <f t="shared" ref="V4:V11" si="5">(Y4*AE4*CK4)/1.06</f>
        <v>1103.135231903517</v>
      </c>
      <c r="W4" s="537" t="str">
        <f t="shared" ref="W4:W11" si="6">+S4</f>
        <v>KG</v>
      </c>
      <c r="X4" s="538">
        <v>350</v>
      </c>
      <c r="Y4" s="539">
        <f t="shared" ref="Y4:Y11" si="7">X4/BE4/(CC4+CF4)</f>
        <v>17.478152309612984</v>
      </c>
      <c r="Z4" s="540">
        <f t="shared" ref="Z4:Z11" si="8">IF(T4-X4&gt;0,T4-X4,0)</f>
        <v>0</v>
      </c>
      <c r="AA4" s="533" t="str">
        <f t="shared" ref="AA4:AA11" si="9">+S4</f>
        <v>KG</v>
      </c>
      <c r="AB4" s="541">
        <f t="shared" ref="AB4:AB11" si="10">IF(U4-Y4&gt;0,U4-Y4,0)</f>
        <v>0</v>
      </c>
      <c r="AC4" s="542">
        <f t="shared" ref="AC4:AC11" si="11">T4-AI4</f>
        <v>307.30023018743827</v>
      </c>
      <c r="AD4" s="542">
        <f t="shared" ref="AD4:AD11" si="12">AC4/BE4/(CC4+CF4)</f>
        <v>15.345829222843362</v>
      </c>
      <c r="AE4" s="543">
        <f>VLOOKUP(L4,'Spec Sheet (2)'!$A$4:$BE$9,57,0)/1000</f>
        <v>1.1000000000000001</v>
      </c>
      <c r="AF4" s="544">
        <f t="shared" ref="AF4:AF11" si="13">IF(CI4&gt;0,AB4,0)</f>
        <v>0</v>
      </c>
      <c r="AG4" s="544">
        <f t="shared" ref="AG4:AG11" si="14">(IF(BS4="B",AB4,0)+IF(CB4="B",AB4,0))</f>
        <v>0</v>
      </c>
      <c r="AH4" s="544">
        <f t="shared" ref="AH4:AH11" si="15">(IF(BS4="L",AB4,0)+IF(CB4="L",AB4,0))</f>
        <v>0</v>
      </c>
      <c r="AI4" s="545">
        <v>0</v>
      </c>
      <c r="AJ4" s="546">
        <f t="shared" ref="AJ4:AJ11" si="16">X4-AI4</f>
        <v>350</v>
      </c>
      <c r="AK4" s="546" t="str">
        <f>VLOOKUP(L4,'Spec Sheet (2)'!$A$4:$FG$15742,163,0)</f>
        <v>Extrusion</v>
      </c>
      <c r="AL4" s="547">
        <f t="shared" ref="AL4:AL11" si="17">CM4*U4*CJ4/1000-3*CM4*U4*CJ4/1000/100</f>
        <v>666.49621834922721</v>
      </c>
      <c r="AM4" s="545">
        <v>0</v>
      </c>
      <c r="AN4" s="545">
        <v>0</v>
      </c>
      <c r="AO4" s="548">
        <f t="shared" ref="AO4:AO11" si="18">AM4-AN4</f>
        <v>0</v>
      </c>
      <c r="AP4" s="548" t="str">
        <f>VLOOKUP(L4,'Spec Sheet (2)'!$A$4:$FH$9,164,0)</f>
        <v>solv.Less</v>
      </c>
      <c r="AQ4" s="549">
        <f t="shared" ref="AQ4:AQ11" si="19">(U4*CM4*CN4/1000)</f>
        <v>687.10950345281151</v>
      </c>
      <c r="AR4" s="545">
        <v>0</v>
      </c>
      <c r="AS4" s="545">
        <v>0</v>
      </c>
      <c r="AT4" s="550">
        <f t="shared" ref="AT4:AT11" si="20">AR4-AS4</f>
        <v>0</v>
      </c>
      <c r="AU4" s="550">
        <f>VLOOKUP(L4,'Spec Sheet (2)'!$A$4:$FI$9,165,0)</f>
        <v>0</v>
      </c>
      <c r="AV4" s="551">
        <f t="shared" ref="AV4:AV11" si="21">IF(H4="1PLY",0,IF(H4="2PLY",0,U4*CM4*CK4/1000))-2*IF(H4="1PLY",0,IF(H4="2PLY",0,U4*CM4*CK4/1000))/100</f>
        <v>1029</v>
      </c>
      <c r="AW4" s="545">
        <v>0</v>
      </c>
      <c r="AX4" s="545">
        <v>0</v>
      </c>
      <c r="AY4" s="551">
        <f t="shared" ref="AY4:AY11" si="22">AW4-AX4</f>
        <v>0</v>
      </c>
      <c r="AZ4" s="551" t="str">
        <f>VLOOKUP(L4,'Spec Sheet (2)'!$A$4:$FJ$16684,166,0)</f>
        <v>Slitting</v>
      </c>
      <c r="BA4" s="552">
        <f t="shared" ref="BA4:BA11" si="23">IF(AK4="Slitting",AJ4,0)+IF(AP4="Slitting",AO4,0)+IF(AU4="Slitting",AT4,0)+IF(AZ4="Slitting",AY4,0)</f>
        <v>0</v>
      </c>
      <c r="BB4" s="553">
        <f>VLOOKUP(L4,'Spec Sheet (2)'!$A$4:$AL$3749,38,0)</f>
        <v>104523</v>
      </c>
      <c r="BC4" s="554" t="str">
        <f>VLOOKUP(L4,'Spec Sheet (2)'!$A$4:$O$26703,15,0)</f>
        <v>1125mmX12Mic PET Chemical</v>
      </c>
      <c r="BD4" s="555">
        <f>VLOOKUP(L4,'Spec Sheet (2)'!$A$4:$L$26703,11,0)</f>
        <v>12</v>
      </c>
      <c r="BE4" s="556">
        <f>VLOOKUP(L4,'Spec Sheet (2)'!$A$4:$J$26703,9,0)/1000</f>
        <v>1.125</v>
      </c>
      <c r="BF4" s="557">
        <f>AB4*BE4*BD4*VLOOKUP(L4,'Spec Sheet (2)'!$A$4:$L$25803,12,0)</f>
        <v>0</v>
      </c>
      <c r="BG4" s="558">
        <f>IF(ISNA(VLOOKUP(BB4,'ALL STOCK'!$C$3:$N$990,12,0)),"-",VLOOKUP(BB4,'ALL STOCK'!$C$3:$N$990,12,0))</f>
        <v>2672.23</v>
      </c>
      <c r="BH4" s="558">
        <f>IF(ISNA(VLOOKUP(BB4,'ALL STOCK'!$C$3:$J$990,8,0)),"-",VLOOKUP(BB4,'ALL STOCK'!$C$3:$J$990,8,0))</f>
        <v>0</v>
      </c>
      <c r="BI4" s="559"/>
      <c r="BJ4" s="560">
        <f>VLOOKUP(L4,'Spec Sheet (2)'!$A$4:$AM$9,39,0)</f>
        <v>103714</v>
      </c>
      <c r="BK4" s="554" t="str">
        <f>VLOOKUP(L4,'Spec Sheet (2)'!$A$4:$Z$26703,26,0)</f>
        <v>1115mmx10mic CC  Met Pet  ( OD 2.2+)</v>
      </c>
      <c r="BL4" s="555">
        <f>VLOOKUP(L4,'Spec Sheet (2)'!$A$4:$V$9,22,0)</f>
        <v>10</v>
      </c>
      <c r="BM4" s="556">
        <f>VLOOKUP(L4,'Spec Sheet (2)'!$A$4:$T$26703,20,0)/1000</f>
        <v>1.115</v>
      </c>
      <c r="BN4" s="561">
        <f t="shared" ref="BN4:BN11" si="24">AB4*BM4*CD4</f>
        <v>0</v>
      </c>
      <c r="BO4" s="562">
        <f>IF(ISNA(VLOOKUP(BJ4,'ALL STOCK'!$C$4:$N$990,12,0)),"-",VLOOKUP(BJ4,'ALL STOCK'!$C$4:$N$990,12,0))</f>
        <v>1393.82</v>
      </c>
      <c r="BP4" s="562">
        <f>IF(ISNA(VLOOKUP(BJ4,'ALL STOCK'!$C$4:$J$990,8,0)),"-",VLOOKUP(BJ4,'ALL STOCK'!$C$4:$J$990,8,0))</f>
        <v>0</v>
      </c>
      <c r="BQ4" s="563"/>
      <c r="BR4" s="564">
        <f>VLOOKUP(L4,'Spec Sheet (2)'!$A$4:$AN$9,40,0)</f>
        <v>103829</v>
      </c>
      <c r="BS4" s="565" t="str">
        <f>VLOOKUP(L4,'Spec Sheet (2)'!$A$4:$FD$9,160,0)</f>
        <v>E</v>
      </c>
      <c r="BT4" s="554" t="str">
        <f>VLOOKUP(L4,'Spec Sheet (2)'!$A$4:$AK$26703,37,0)</f>
        <v>1115mmX 21mic PE (Natural)</v>
      </c>
      <c r="BU4" s="555">
        <f>VLOOKUP(L4,'Spec Sheet (2)'!$A$4:$AG$26703,33,0)</f>
        <v>21</v>
      </c>
      <c r="BV4" s="556">
        <f>VLOOKUP(L4,'Spec Sheet (2)'!$A$4:$AE$26703,31,0)/1000</f>
        <v>1.115</v>
      </c>
      <c r="BW4" s="566">
        <f t="shared" ref="BW4:BW11" si="25">AB4*BV4*CE4</f>
        <v>0</v>
      </c>
      <c r="BX4" s="567">
        <f>IF(ISNA(VLOOKUP(BR4,'ALL STOCK'!$C$3:$N$990,12,0)),"-",VLOOKUP(BR4,'ALL STOCK'!$C$3:$N$990,12,0))</f>
        <v>5413.6</v>
      </c>
      <c r="BY4" s="567">
        <f>IF(ISNA(VLOOKUP(BR4,'ALL STOCK'!$C$4:$J$990,8,)),"-",VLOOKUP(BR4,'ALL STOCK'!$C$4:$J$990,8,))</f>
        <v>0</v>
      </c>
      <c r="BZ4" s="568">
        <f>VLOOKUP(L4,'Spec Sheet (2)'!$A$4:$B$25803,2,0)</f>
        <v>1005</v>
      </c>
      <c r="CA4" s="569" t="str">
        <f>VLOOKUP(L4,'Spec Sheet (2)'!$A$4:$FO$25803,171,0)</f>
        <v>4PLY</v>
      </c>
      <c r="CB4" s="559" t="str">
        <f>VLOOKUP(L4,'Spec Sheet (2)'!$A$4:$FF$9,161,0)</f>
        <v>L</v>
      </c>
      <c r="CC4" s="570">
        <f>VLOOKUP(L4,'Spec Sheet (2)'!$A$4:$M$25803,13,0)</f>
        <v>16.799999999999997</v>
      </c>
      <c r="CD4" s="570">
        <f>VLOOKUP(L4,'Spec Sheet (2)'!$A$4:$X$26703,24,0)</f>
        <v>14</v>
      </c>
      <c r="CE4" s="571">
        <f>VLOOKUP(L4,'Spec Sheet (2)'!$A$4:$AI$25803,35,0)</f>
        <v>19.32</v>
      </c>
      <c r="CF4" s="572">
        <f>VLOOKUP(L4,'Spec Sheet (2)'!$A$4:$BF$26703,58,0)</f>
        <v>1</v>
      </c>
      <c r="CG4" s="572">
        <f>VLOOKUP(L4,'Spec Sheet (2)'!$A$4:$FN$25803,169,0)</f>
        <v>0</v>
      </c>
      <c r="CH4" s="572">
        <f>VLOOKUP(L4,'Spec Sheet (2)'!$A$4:$FN$25803,170,0)</f>
        <v>1.7</v>
      </c>
      <c r="CI4" s="572">
        <f>VLOOKUP(L4,'Spec Sheet (2)'!$A$4:$CX$26703,102,0)</f>
        <v>8</v>
      </c>
      <c r="CJ4" s="573">
        <f>VLOOKUP(L4,'Spec Sheet (2)'!$A$4:$DC$26703,107,0)</f>
        <v>39.799999999999997</v>
      </c>
      <c r="CK4" s="570">
        <f t="shared" ref="CK4:CK11" si="26">SUM(CC4:CI4)</f>
        <v>60.82</v>
      </c>
      <c r="CL4" s="574">
        <f>VLOOKUP(L4,'Spec Sheet (2)'!$A$4:$FL$26703,168,0)</f>
        <v>1.05</v>
      </c>
      <c r="CM4" s="574">
        <f>VLOOKUP(L4,'Spec Sheet (2)'!$A$4:$I$26703,9,0)</f>
        <v>1125</v>
      </c>
      <c r="CN4" s="574">
        <f>VLOOKUP(L4,'Spec Sheet (2)'!$A$4:$FP$26703,172,0)</f>
        <v>39.799999999999997</v>
      </c>
      <c r="CO4" s="575" t="str">
        <f>VLOOKUP(L4,'Spec Sheet (2)'!$A$4:$D$26703,4,0)</f>
        <v>PARTY-1</v>
      </c>
      <c r="CP4" s="368"/>
      <c r="CQ4" s="576">
        <f>AQ4-AS4</f>
        <v>687.10950345281151</v>
      </c>
      <c r="CR4" s="520"/>
      <c r="CS4" s="520"/>
      <c r="CT4" s="577"/>
      <c r="CU4" s="520"/>
    </row>
    <row r="5" spans="1:110" ht="17.25" customHeight="1">
      <c r="A5" s="521" t="str">
        <f t="shared" si="0"/>
        <v>SO-2</v>
      </c>
      <c r="B5" s="522" t="str">
        <f>VLOOKUP(L5,'Spec Sheet (2)'!$A$4:$GD$26703,186,0)</f>
        <v>OIL SURFACE</v>
      </c>
      <c r="C5" s="523"/>
      <c r="D5" s="524"/>
      <c r="E5" s="525"/>
      <c r="F5" s="526" t="str">
        <f>VLOOKUP(L5,'Spec Sheet (2)'!$A$4:$S$9,19,0)</f>
        <v xml:space="preserve"> </v>
      </c>
      <c r="G5" s="527">
        <f>VLOOKUP(L5,'Spec Sheet (2)'!$A$4:$B$739,2,0)</f>
        <v>1006</v>
      </c>
      <c r="H5" s="607">
        <f>VLOOKUP(K5,'ORDER BOOK'!$I$3:$W$18,15,0)</f>
        <v>46141</v>
      </c>
      <c r="I5" s="528"/>
      <c r="J5" s="528" t="str">
        <f>VLOOKUP(L5,'Spec Sheet (2)'!$A$4:$CV$26703,100,0)</f>
        <v>-</v>
      </c>
      <c r="K5" s="578" t="s">
        <v>995</v>
      </c>
      <c r="L5" s="171" t="s">
        <v>1007</v>
      </c>
      <c r="M5" s="287" t="str">
        <f>VLOOKUP(K5,'ORDER BOOK'!$I$3:$K$18,3,0)</f>
        <v>C-2</v>
      </c>
      <c r="N5" s="530"/>
      <c r="O5" s="531" t="str">
        <f t="shared" si="1"/>
        <v>BAL</v>
      </c>
      <c r="P5" s="350">
        <f t="shared" si="2"/>
        <v>1000</v>
      </c>
      <c r="Q5" s="532">
        <v>1</v>
      </c>
      <c r="R5" s="596">
        <v>1000</v>
      </c>
      <c r="S5" s="533" t="s">
        <v>113</v>
      </c>
      <c r="T5" s="534">
        <f t="shared" si="3"/>
        <v>1000</v>
      </c>
      <c r="U5" s="535">
        <f t="shared" si="4"/>
        <v>10.126966846842285</v>
      </c>
      <c r="V5" s="536">
        <f t="shared" si="5"/>
        <v>0</v>
      </c>
      <c r="W5" s="537" t="str">
        <f t="shared" si="6"/>
        <v>KG</v>
      </c>
      <c r="X5" s="538">
        <v>0</v>
      </c>
      <c r="Y5" s="539">
        <f t="shared" si="7"/>
        <v>0</v>
      </c>
      <c r="Z5" s="540">
        <f t="shared" si="8"/>
        <v>1000</v>
      </c>
      <c r="AA5" s="533" t="str">
        <f t="shared" si="9"/>
        <v>KG</v>
      </c>
      <c r="AB5" s="541">
        <f t="shared" si="10"/>
        <v>10.126966846842285</v>
      </c>
      <c r="AC5" s="542">
        <f t="shared" si="11"/>
        <v>1000</v>
      </c>
      <c r="AD5" s="542">
        <f t="shared" si="12"/>
        <v>10.126966846842285</v>
      </c>
      <c r="AE5" s="543">
        <f>VLOOKUP(L5,'Spec Sheet (2)'!$A$4:$BE$9,57,0)/1000</f>
        <v>0.97499999999999998</v>
      </c>
      <c r="AF5" s="544">
        <f t="shared" si="13"/>
        <v>0</v>
      </c>
      <c r="AG5" s="544">
        <f t="shared" si="14"/>
        <v>0</v>
      </c>
      <c r="AH5" s="544">
        <f t="shared" si="15"/>
        <v>0</v>
      </c>
      <c r="AI5" s="545">
        <v>0</v>
      </c>
      <c r="AJ5" s="546">
        <f t="shared" si="16"/>
        <v>0</v>
      </c>
      <c r="AK5" s="546" t="str">
        <f>VLOOKUP(L5,'Spec Sheet (2)'!$A$4:$FG$15742,163,0)</f>
        <v>Slitting</v>
      </c>
      <c r="AL5" s="547">
        <f t="shared" si="17"/>
        <v>0</v>
      </c>
      <c r="AM5" s="545">
        <v>0</v>
      </c>
      <c r="AN5" s="545">
        <v>0</v>
      </c>
      <c r="AO5" s="548">
        <f t="shared" si="18"/>
        <v>0</v>
      </c>
      <c r="AP5" s="548">
        <f>VLOOKUP(L5,'Spec Sheet (2)'!$A$4:$FH$9,164,0)</f>
        <v>0</v>
      </c>
      <c r="AQ5" s="549">
        <f t="shared" si="19"/>
        <v>1000</v>
      </c>
      <c r="AR5" s="545">
        <v>0</v>
      </c>
      <c r="AS5" s="545">
        <v>0</v>
      </c>
      <c r="AT5" s="550">
        <f t="shared" si="20"/>
        <v>0</v>
      </c>
      <c r="AU5" s="550">
        <f>VLOOKUP(L5,'Spec Sheet (2)'!$A$4:$FI$9,165,0)</f>
        <v>0</v>
      </c>
      <c r="AV5" s="551">
        <f t="shared" si="21"/>
        <v>980</v>
      </c>
      <c r="AW5" s="545">
        <v>0</v>
      </c>
      <c r="AX5" s="545">
        <v>0</v>
      </c>
      <c r="AY5" s="551">
        <f t="shared" si="22"/>
        <v>0</v>
      </c>
      <c r="AZ5" s="551">
        <f>VLOOKUP(L5,'Spec Sheet (2)'!$A$4:$FJ$16684,166,0)</f>
        <v>0</v>
      </c>
      <c r="BA5" s="552">
        <f t="shared" si="23"/>
        <v>0</v>
      </c>
      <c r="BB5" s="553">
        <f>VLOOKUP(L5,'Spec Sheet (2)'!$A$4:$AL$3749,38,0)</f>
        <v>104795</v>
      </c>
      <c r="BC5" s="554" t="str">
        <f>VLOOKUP(L5,'Spec Sheet (2)'!$A$4:$O$26703,15,0)</f>
        <v>985mmX105Mic PE (White)</v>
      </c>
      <c r="BD5" s="555">
        <f>VLOOKUP(L5,'Spec Sheet (2)'!$A$4:$L$26703,11,0)</f>
        <v>105</v>
      </c>
      <c r="BE5" s="556">
        <f>VLOOKUP(L5,'Spec Sheet (2)'!$A$4:$J$26703,9,0)/1000</f>
        <v>0.98499999999999999</v>
      </c>
      <c r="BF5" s="557">
        <f>AB5*BE5*BD5*VLOOKUP(L5,'Spec Sheet (2)'!$A$4:$L$25803,12,0)</f>
        <v>995.01246882793009</v>
      </c>
      <c r="BG5" s="558">
        <f>IF(ISNA(VLOOKUP(BB5,'ALL STOCK'!$C$3:$N$990,12,0)),"-",VLOOKUP(BB5,'ALL STOCK'!$C$3:$N$990,12,0))</f>
        <v>5148.8999999999996</v>
      </c>
      <c r="BH5" s="558">
        <f>IF(ISNA(VLOOKUP(BB5,'ALL STOCK'!$C$3:$J$990,8,0)),"-",VLOOKUP(BB5,'ALL STOCK'!$C$3:$J$990,8,0))</f>
        <v>0</v>
      </c>
      <c r="BI5" s="559"/>
      <c r="BJ5" s="560">
        <f>VLOOKUP(L5,'Spec Sheet (2)'!$A$4:$AM$9,39,0)</f>
        <v>0</v>
      </c>
      <c r="BK5" s="554" t="str">
        <f>VLOOKUP(L5,'Spec Sheet (2)'!$A$4:$Z$26703,26,0)</f>
        <v xml:space="preserve">mmxmic  </v>
      </c>
      <c r="BL5" s="555">
        <f>VLOOKUP(L5,'Spec Sheet (2)'!$A$4:$V$9,22,0)</f>
        <v>0</v>
      </c>
      <c r="BM5" s="556">
        <f>VLOOKUP(L5,'Spec Sheet (2)'!$A$4:$T$26703,20,0)/1000</f>
        <v>0</v>
      </c>
      <c r="BN5" s="561">
        <f t="shared" si="24"/>
        <v>0</v>
      </c>
      <c r="BO5" s="562" t="str">
        <f>IF(ISNA(VLOOKUP(BJ5,'ALL STOCK'!$C$4:$N$990,12,0)),"-",VLOOKUP(BJ5,'ALL STOCK'!$C$4:$N$990,12,0))</f>
        <v>-</v>
      </c>
      <c r="BP5" s="562" t="str">
        <f>IF(ISNA(VLOOKUP(BJ5,'ALL STOCK'!$C$4:$J$990,8,0)),"-",VLOOKUP(BJ5,'ALL STOCK'!$C$4:$J$990,8,0))</f>
        <v>-</v>
      </c>
      <c r="BQ5" s="563"/>
      <c r="BR5" s="564">
        <f>VLOOKUP(L5,'Spec Sheet (2)'!$A$4:$AN$9,40,0)</f>
        <v>0</v>
      </c>
      <c r="BS5" s="565" t="str">
        <f>VLOOKUP(L5,'Spec Sheet (2)'!$A$4:$FD$9,160,0)</f>
        <v>S</v>
      </c>
      <c r="BT5" s="554" t="str">
        <f>VLOOKUP(L5,'Spec Sheet (2)'!$A$4:$AK$26703,37,0)</f>
        <v xml:space="preserve">mmX mic </v>
      </c>
      <c r="BU5" s="555">
        <f>VLOOKUP(L5,'Spec Sheet (2)'!$A$4:$AG$26703,33,0)</f>
        <v>0</v>
      </c>
      <c r="BV5" s="556">
        <f>VLOOKUP(L5,'Spec Sheet (2)'!$A$4:$AE$26703,31,0)/1000</f>
        <v>0</v>
      </c>
      <c r="BW5" s="566">
        <f t="shared" si="25"/>
        <v>0</v>
      </c>
      <c r="BX5" s="567" t="str">
        <f>IF(ISNA(VLOOKUP(BR5,'ALL STOCK'!$C$3:$N$990,12,0)),"-",VLOOKUP(BR5,'ALL STOCK'!$C$3:$N$990,12,0))</f>
        <v>-</v>
      </c>
      <c r="BY5" s="567" t="str">
        <f>IF(ISNA(VLOOKUP(BR5,'ALL STOCK'!$C$4:$J$990,8,)),"-",VLOOKUP(BR5,'ALL STOCK'!$C$4:$J$990,8,))</f>
        <v>-</v>
      </c>
      <c r="BZ5" s="568">
        <f>VLOOKUP(L5,'Spec Sheet (2)'!$A$4:$B$25803,2,0)</f>
        <v>1006</v>
      </c>
      <c r="CA5" s="569" t="str">
        <f>VLOOKUP(L5,'Spec Sheet (2)'!$A$4:$FO$25803,171,0)</f>
        <v>1PLY</v>
      </c>
      <c r="CB5" s="559" t="str">
        <f>VLOOKUP(L5,'Spec Sheet (2)'!$A$4:$FF$9,161,0)</f>
        <v>X</v>
      </c>
      <c r="CC5" s="570">
        <f>VLOOKUP(L5,'Spec Sheet (2)'!$A$4:$M$25803,13,0)</f>
        <v>99.75</v>
      </c>
      <c r="CD5" s="570">
        <f>VLOOKUP(L5,'Spec Sheet (2)'!$A$4:$X$26703,24,0)</f>
        <v>0</v>
      </c>
      <c r="CE5" s="571">
        <f>VLOOKUP(L5,'Spec Sheet (2)'!$A$4:$AI$25803,35,0)</f>
        <v>0</v>
      </c>
      <c r="CF5" s="572">
        <f>VLOOKUP(L5,'Spec Sheet (2)'!$A$4:$BF$26703,58,0)</f>
        <v>0.5</v>
      </c>
      <c r="CG5" s="572">
        <f>VLOOKUP(L5,'Spec Sheet (2)'!$A$4:$FN$25803,169,0)</f>
        <v>0</v>
      </c>
      <c r="CH5" s="572">
        <f>VLOOKUP(L5,'Spec Sheet (2)'!$A$4:$FN$25803,170,0)</f>
        <v>0</v>
      </c>
      <c r="CI5" s="572">
        <f>VLOOKUP(L5,'Spec Sheet (2)'!$A$4:$CX$26703,102,0)</f>
        <v>0</v>
      </c>
      <c r="CJ5" s="573">
        <f>VLOOKUP(L5,'Spec Sheet (2)'!$A$4:$DC$26703,107,0)</f>
        <v>0</v>
      </c>
      <c r="CK5" s="570">
        <f t="shared" si="26"/>
        <v>100.25</v>
      </c>
      <c r="CL5" s="574">
        <f>VLOOKUP(L5,'Spec Sheet (2)'!$A$4:$FL$26703,168,0)</f>
        <v>1</v>
      </c>
      <c r="CM5" s="574">
        <f>VLOOKUP(L5,'Spec Sheet (2)'!$A$4:$I$26703,9,0)</f>
        <v>985</v>
      </c>
      <c r="CN5" s="574">
        <f>VLOOKUP(L5,'Spec Sheet (2)'!$A$4:$FP$26703,172,0)</f>
        <v>100.25</v>
      </c>
      <c r="CO5" s="575" t="str">
        <f>VLOOKUP(L5,'Spec Sheet (2)'!$A$4:$D$26703,4,0)</f>
        <v>PARTY-2</v>
      </c>
      <c r="CP5" s="368"/>
      <c r="CQ5" s="576">
        <f t="shared" ref="CQ5:CQ11" si="27">AQ5-AS5</f>
        <v>1000</v>
      </c>
      <c r="CR5" s="520"/>
      <c r="CS5" s="520"/>
      <c r="CT5" s="577"/>
      <c r="CU5" s="520"/>
    </row>
    <row r="6" spans="1:110" ht="17.25" customHeight="1">
      <c r="A6" s="521" t="str">
        <f t="shared" si="0"/>
        <v>SO-3</v>
      </c>
      <c r="B6" s="522" t="str">
        <f>VLOOKUP(L6,'Spec Sheet (2)'!$A$4:$GD$26703,186,0)</f>
        <v>BISCUITE</v>
      </c>
      <c r="C6" s="523"/>
      <c r="D6" s="524"/>
      <c r="E6" s="525"/>
      <c r="F6" s="526" t="str">
        <f>VLOOKUP(L6,'Spec Sheet (2)'!$A$4:$S$9,19,0)</f>
        <v xml:space="preserve">Met BOPP(HSL) </v>
      </c>
      <c r="G6" s="527">
        <f>VLOOKUP(L6,'Spec Sheet (2)'!$A$4:$B$739,2,0)</f>
        <v>1007</v>
      </c>
      <c r="H6" s="607">
        <f>VLOOKUP(K6,'ORDER BOOK'!$I$3:$W$18,15,0)</f>
        <v>46141</v>
      </c>
      <c r="I6" s="528"/>
      <c r="J6" s="528" t="str">
        <f>VLOOKUP(L6,'Spec Sheet (2)'!$A$4:$CV$26703,100,0)</f>
        <v>ECL- Job</v>
      </c>
      <c r="K6" s="578" t="s">
        <v>996</v>
      </c>
      <c r="L6" s="171" t="s">
        <v>1008</v>
      </c>
      <c r="M6" s="287" t="str">
        <f>VLOOKUP(K6,'ORDER BOOK'!$I$3:$K$18,3,0)</f>
        <v>C-3</v>
      </c>
      <c r="N6" s="530"/>
      <c r="O6" s="531" t="str">
        <f t="shared" si="1"/>
        <v>BAL</v>
      </c>
      <c r="P6" s="350">
        <f t="shared" si="2"/>
        <v>1000</v>
      </c>
      <c r="Q6" s="532">
        <v>1</v>
      </c>
      <c r="R6" s="596">
        <v>1000</v>
      </c>
      <c r="S6" s="533" t="s">
        <v>113</v>
      </c>
      <c r="T6" s="534">
        <f t="shared" si="3"/>
        <v>344.16666666666669</v>
      </c>
      <c r="U6" s="535">
        <f t="shared" si="4"/>
        <v>30.73410607657183</v>
      </c>
      <c r="V6" s="536">
        <f t="shared" si="5"/>
        <v>0</v>
      </c>
      <c r="W6" s="537" t="str">
        <f t="shared" si="6"/>
        <v>KG</v>
      </c>
      <c r="X6" s="538">
        <v>0</v>
      </c>
      <c r="Y6" s="539">
        <f t="shared" si="7"/>
        <v>0</v>
      </c>
      <c r="Z6" s="540">
        <f t="shared" si="8"/>
        <v>344.16666666666669</v>
      </c>
      <c r="AA6" s="533" t="str">
        <f t="shared" si="9"/>
        <v>KG</v>
      </c>
      <c r="AB6" s="541">
        <f t="shared" si="10"/>
        <v>30.73410607657183</v>
      </c>
      <c r="AC6" s="542">
        <f t="shared" si="11"/>
        <v>344.16666666666669</v>
      </c>
      <c r="AD6" s="542">
        <f t="shared" si="12"/>
        <v>30.73410607657183</v>
      </c>
      <c r="AE6" s="543">
        <f>VLOOKUP(L6,'Spec Sheet (2)'!$A$4:$BE$9,57,0)/1000</f>
        <v>0.92400000000000004</v>
      </c>
      <c r="AF6" s="544">
        <f t="shared" si="13"/>
        <v>30.73410607657183</v>
      </c>
      <c r="AG6" s="544">
        <f t="shared" si="14"/>
        <v>0</v>
      </c>
      <c r="AH6" s="544">
        <f t="shared" si="15"/>
        <v>0</v>
      </c>
      <c r="AI6" s="545">
        <v>0</v>
      </c>
      <c r="AJ6" s="546">
        <f t="shared" si="16"/>
        <v>0</v>
      </c>
      <c r="AK6" s="546" t="str">
        <f>VLOOKUP(L6,'Spec Sheet (2)'!$A$4:$FG$15742,163,0)</f>
        <v>Extrusion</v>
      </c>
      <c r="AL6" s="547">
        <f t="shared" si="17"/>
        <v>1018.5</v>
      </c>
      <c r="AM6" s="545">
        <v>0</v>
      </c>
      <c r="AN6" s="545">
        <v>0</v>
      </c>
      <c r="AO6" s="548">
        <f t="shared" si="18"/>
        <v>0</v>
      </c>
      <c r="AP6" s="548" t="str">
        <f>VLOOKUP(L6,'Spec Sheet (2)'!$A$4:$FH$9,164,0)</f>
        <v>Slitting</v>
      </c>
      <c r="AQ6" s="549">
        <f t="shared" si="19"/>
        <v>1050</v>
      </c>
      <c r="AR6" s="545">
        <v>0</v>
      </c>
      <c r="AS6" s="545">
        <v>0</v>
      </c>
      <c r="AT6" s="550">
        <f t="shared" si="20"/>
        <v>0</v>
      </c>
      <c r="AU6" s="550">
        <f>VLOOKUP(L6,'Spec Sheet (2)'!$A$4:$FI$9,165,0)</f>
        <v>0</v>
      </c>
      <c r="AV6" s="551">
        <f t="shared" si="21"/>
        <v>1029</v>
      </c>
      <c r="AW6" s="545">
        <v>0</v>
      </c>
      <c r="AX6" s="545">
        <v>0</v>
      </c>
      <c r="AY6" s="551">
        <f t="shared" si="22"/>
        <v>0</v>
      </c>
      <c r="AZ6" s="551">
        <f>VLOOKUP(L6,'Spec Sheet (2)'!$A$4:$FJ$16684,166,0)</f>
        <v>0</v>
      </c>
      <c r="BA6" s="552">
        <f t="shared" si="23"/>
        <v>0</v>
      </c>
      <c r="BB6" s="553">
        <f>VLOOKUP(L6,'Spec Sheet (2)'!$A$4:$AL$3749,38,0)</f>
        <v>104787</v>
      </c>
      <c r="BC6" s="554" t="str">
        <f>VLOOKUP(L6,'Spec Sheet (2)'!$A$4:$O$26703,15,0)</f>
        <v>949mmX12Mic BOPP BST</v>
      </c>
      <c r="BD6" s="555">
        <f>VLOOKUP(L6,'Spec Sheet (2)'!$A$4:$L$26703,11,0)</f>
        <v>12</v>
      </c>
      <c r="BE6" s="556">
        <f>VLOOKUP(L6,'Spec Sheet (2)'!$A$4:$J$26703,9,0)/1000</f>
        <v>0.94899999999999995</v>
      </c>
      <c r="BF6" s="557">
        <f>AB6*BE6*BD6*VLOOKUP(L6,'Spec Sheet (2)'!$A$4:$L$25803,12,0)</f>
        <v>315</v>
      </c>
      <c r="BG6" s="558">
        <f>IF(ISNA(VLOOKUP(BB6,'ALL STOCK'!$C$3:$N$990,12,0)),"-",VLOOKUP(BB6,'ALL STOCK'!$C$3:$N$990,12,0))</f>
        <v>2650.96</v>
      </c>
      <c r="BH6" s="558">
        <f>IF(ISNA(VLOOKUP(BB6,'ALL STOCK'!$C$3:$J$990,8,0)),"-",VLOOKUP(BB6,'ALL STOCK'!$C$3:$J$990,8,0))</f>
        <v>574.46</v>
      </c>
      <c r="BI6" s="559"/>
      <c r="BJ6" s="560">
        <f>VLOOKUP(L6,'Spec Sheet (2)'!$A$4:$AM$9,39,0)</f>
        <v>104788</v>
      </c>
      <c r="BK6" s="554" t="str">
        <f>VLOOKUP(L6,'Spec Sheet (2)'!$A$4:$Z$26703,26,0)</f>
        <v xml:space="preserve">939mmx18mic Met BOPP(HSL) </v>
      </c>
      <c r="BL6" s="555">
        <f>VLOOKUP(L6,'Spec Sheet (2)'!$A$4:$V$9,22,0)</f>
        <v>18</v>
      </c>
      <c r="BM6" s="556">
        <f>VLOOKUP(L6,'Spec Sheet (2)'!$A$4:$T$26703,20,0)/1000</f>
        <v>0.93899999999999995</v>
      </c>
      <c r="BN6" s="561">
        <f t="shared" si="24"/>
        <v>467.52107481559528</v>
      </c>
      <c r="BO6" s="562">
        <f>IF(ISNA(VLOOKUP(BJ6,'ALL STOCK'!$C$4:$N$990,12,0)),"-",VLOOKUP(BJ6,'ALL STOCK'!$C$4:$N$990,12,0))</f>
        <v>4455.2299999999996</v>
      </c>
      <c r="BP6" s="562">
        <f>IF(ISNA(VLOOKUP(BJ6,'ALL STOCK'!$C$4:$J$990,8,0)),"-",VLOOKUP(BJ6,'ALL STOCK'!$C$4:$J$990,8,0))</f>
        <v>44.45</v>
      </c>
      <c r="BQ6" s="563"/>
      <c r="BR6" s="564">
        <f>VLOOKUP(L6,'Spec Sheet (2)'!$A$4:$AN$9,40,0)</f>
        <v>0</v>
      </c>
      <c r="BS6" s="565" t="str">
        <f>VLOOKUP(L6,'Spec Sheet (2)'!$A$4:$FD$9,160,0)</f>
        <v>E</v>
      </c>
      <c r="BT6" s="554" t="str">
        <f>VLOOKUP(L6,'Spec Sheet (2)'!$A$4:$AK$26703,37,0)</f>
        <v xml:space="preserve">mmX mic </v>
      </c>
      <c r="BU6" s="555">
        <f>VLOOKUP(L6,'Spec Sheet (2)'!$A$4:$AG$26703,33,0)</f>
        <v>0</v>
      </c>
      <c r="BV6" s="556">
        <f>VLOOKUP(L6,'Spec Sheet (2)'!$A$4:$AE$26703,31,0)/1000</f>
        <v>0</v>
      </c>
      <c r="BW6" s="566">
        <f t="shared" si="25"/>
        <v>0</v>
      </c>
      <c r="BX6" s="567" t="str">
        <f>IF(ISNA(VLOOKUP(BR6,'ALL STOCK'!$C$3:$N$990,12,0)),"-",VLOOKUP(BR6,'ALL STOCK'!$C$3:$N$990,12,0))</f>
        <v>-</v>
      </c>
      <c r="BY6" s="567" t="str">
        <f>IF(ISNA(VLOOKUP(BR6,'ALL STOCK'!$C$4:$J$990,8,)),"-",VLOOKUP(BR6,'ALL STOCK'!$C$4:$J$990,8,))</f>
        <v>-</v>
      </c>
      <c r="BZ6" s="568">
        <f>VLOOKUP(L6,'Spec Sheet (2)'!$A$4:$B$25803,2,0)</f>
        <v>1007</v>
      </c>
      <c r="CA6" s="569" t="str">
        <f>VLOOKUP(L6,'Spec Sheet (2)'!$A$4:$FO$25803,171,0)</f>
        <v>3PLY</v>
      </c>
      <c r="CB6" s="559" t="str">
        <f>VLOOKUP(L6,'Spec Sheet (2)'!$A$4:$FF$9,161,0)</f>
        <v>X</v>
      </c>
      <c r="CC6" s="570">
        <f>VLOOKUP(L6,'Spec Sheet (2)'!$A$4:$M$25803,13,0)</f>
        <v>10.8</v>
      </c>
      <c r="CD6" s="570">
        <f>VLOOKUP(L6,'Spec Sheet (2)'!$A$4:$X$26703,24,0)</f>
        <v>16.2</v>
      </c>
      <c r="CE6" s="571">
        <f>VLOOKUP(L6,'Spec Sheet (2)'!$A$4:$AI$25803,35,0)</f>
        <v>0</v>
      </c>
      <c r="CF6" s="572">
        <f>VLOOKUP(L6,'Spec Sheet (2)'!$A$4:$BF$26703,58,0)</f>
        <v>1</v>
      </c>
      <c r="CG6" s="572">
        <f>VLOOKUP(L6,'Spec Sheet (2)'!$A$4:$FN$25803,169,0)</f>
        <v>0</v>
      </c>
      <c r="CH6" s="572">
        <f>VLOOKUP(L6,'Spec Sheet (2)'!$A$4:$FN$25803,170,0)</f>
        <v>0</v>
      </c>
      <c r="CI6" s="572">
        <f>VLOOKUP(L6,'Spec Sheet (2)'!$A$4:$CX$26703,102,0)</f>
        <v>8</v>
      </c>
      <c r="CJ6" s="573">
        <f>VLOOKUP(L6,'Spec Sheet (2)'!$A$4:$DC$26703,107,0)</f>
        <v>36</v>
      </c>
      <c r="CK6" s="570">
        <f t="shared" si="26"/>
        <v>36</v>
      </c>
      <c r="CL6" s="574">
        <f>VLOOKUP(L6,'Spec Sheet (2)'!$A$4:$FL$26703,168,0)</f>
        <v>1.05</v>
      </c>
      <c r="CM6" s="574">
        <f>VLOOKUP(L6,'Spec Sheet (2)'!$A$4:$I$26703,9,0)</f>
        <v>949</v>
      </c>
      <c r="CN6" s="574">
        <f>VLOOKUP(L6,'Spec Sheet (2)'!$A$4:$FP$26703,172,0)</f>
        <v>36</v>
      </c>
      <c r="CO6" s="575" t="str">
        <f>VLOOKUP(L6,'Spec Sheet (2)'!$A$4:$D$26703,4,0)</f>
        <v>PARTY-3</v>
      </c>
      <c r="CP6" s="368"/>
      <c r="CQ6" s="576">
        <f t="shared" si="27"/>
        <v>1050</v>
      </c>
      <c r="CR6" s="520"/>
      <c r="CS6" s="520"/>
      <c r="CT6" s="577"/>
      <c r="CU6" s="520"/>
    </row>
    <row r="7" spans="1:110" ht="17.25" customHeight="1">
      <c r="A7" s="521" t="str">
        <f t="shared" si="0"/>
        <v>SO-4</v>
      </c>
      <c r="B7" s="522" t="str">
        <f>VLOOKUP(L7,'Spec Sheet (2)'!$A$4:$GD$26703,186,0)</f>
        <v>FLOW WRAP</v>
      </c>
      <c r="C7" s="523"/>
      <c r="D7" s="524"/>
      <c r="E7" s="525"/>
      <c r="F7" s="526" t="str">
        <f>VLOOKUP(L7,'Spec Sheet (2)'!$A$4:$S$9,19,0)</f>
        <v>Met Pet Chemical</v>
      </c>
      <c r="G7" s="527">
        <f>VLOOKUP(L7,'Spec Sheet (2)'!$A$4:$B$739,2,0)</f>
        <v>1008</v>
      </c>
      <c r="H7" s="607">
        <f>VLOOKUP(K7,'ORDER BOOK'!$I$3:$W$18,15,0)</f>
        <v>46141</v>
      </c>
      <c r="I7" s="528"/>
      <c r="J7" s="528" t="str">
        <f>VLOOKUP(L7,'Spec Sheet (2)'!$A$4:$CV$26703,100,0)</f>
        <v>-</v>
      </c>
      <c r="K7" s="578" t="s">
        <v>997</v>
      </c>
      <c r="L7" s="171" t="s">
        <v>1009</v>
      </c>
      <c r="M7" s="287" t="str">
        <f>VLOOKUP(K7,'ORDER BOOK'!$I$3:$K$18,3,0)</f>
        <v>C-4</v>
      </c>
      <c r="N7" s="530"/>
      <c r="O7" s="531" t="str">
        <f t="shared" si="1"/>
        <v>BAL</v>
      </c>
      <c r="P7" s="350">
        <f t="shared" si="2"/>
        <v>1000</v>
      </c>
      <c r="Q7" s="532">
        <v>1</v>
      </c>
      <c r="R7" s="596">
        <v>1000</v>
      </c>
      <c r="S7" s="533" t="s">
        <v>113</v>
      </c>
      <c r="T7" s="534">
        <f t="shared" si="3"/>
        <v>256.29921259842513</v>
      </c>
      <c r="U7" s="535">
        <f t="shared" si="4"/>
        <v>17.011762418586564</v>
      </c>
      <c r="V7" s="536">
        <f t="shared" si="5"/>
        <v>0</v>
      </c>
      <c r="W7" s="537" t="str">
        <f t="shared" si="6"/>
        <v>KG</v>
      </c>
      <c r="X7" s="538">
        <v>0</v>
      </c>
      <c r="Y7" s="539">
        <f t="shared" si="7"/>
        <v>0</v>
      </c>
      <c r="Z7" s="540">
        <f t="shared" si="8"/>
        <v>256.29921259842513</v>
      </c>
      <c r="AA7" s="533" t="str">
        <f t="shared" si="9"/>
        <v>KG</v>
      </c>
      <c r="AB7" s="541">
        <f t="shared" si="10"/>
        <v>17.011762418586564</v>
      </c>
      <c r="AC7" s="542">
        <f t="shared" si="11"/>
        <v>256.29921259842513</v>
      </c>
      <c r="AD7" s="542">
        <f t="shared" si="12"/>
        <v>17.011762418586564</v>
      </c>
      <c r="AE7" s="543">
        <f>VLOOKUP(L7,'Spec Sheet (2)'!$A$4:$BE$9,57,0)/1000</f>
        <v>1.2</v>
      </c>
      <c r="AF7" s="544">
        <f t="shared" si="13"/>
        <v>0</v>
      </c>
      <c r="AG7" s="544">
        <f t="shared" si="14"/>
        <v>0</v>
      </c>
      <c r="AH7" s="544">
        <f t="shared" si="15"/>
        <v>34.023524837173127</v>
      </c>
      <c r="AI7" s="545">
        <v>0</v>
      </c>
      <c r="AJ7" s="546">
        <f t="shared" si="16"/>
        <v>0</v>
      </c>
      <c r="AK7" s="546" t="str">
        <f>VLOOKUP(L7,'Spec Sheet (2)'!$A$4:$FG$15742,163,0)</f>
        <v>solv.Less</v>
      </c>
      <c r="AL7" s="547">
        <f t="shared" si="17"/>
        <v>0</v>
      </c>
      <c r="AM7" s="545">
        <v>0</v>
      </c>
      <c r="AN7" s="545">
        <v>0</v>
      </c>
      <c r="AO7" s="548">
        <f t="shared" si="18"/>
        <v>0</v>
      </c>
      <c r="AP7" s="548">
        <f>VLOOKUP(L7,'Spec Sheet (2)'!$A$4:$FH$9,164,0)</f>
        <v>0</v>
      </c>
      <c r="AQ7" s="549">
        <f t="shared" si="19"/>
        <v>539.46850393700777</v>
      </c>
      <c r="AR7" s="545">
        <v>0</v>
      </c>
      <c r="AS7" s="545">
        <v>0</v>
      </c>
      <c r="AT7" s="550">
        <f t="shared" si="20"/>
        <v>0</v>
      </c>
      <c r="AU7" s="550" t="str">
        <f>VLOOKUP(L7,'Spec Sheet (2)'!$A$4:$FI$9,165,0)</f>
        <v>solv.Less</v>
      </c>
      <c r="AV7" s="551">
        <f t="shared" si="21"/>
        <v>1029</v>
      </c>
      <c r="AW7" s="545">
        <v>0</v>
      </c>
      <c r="AX7" s="545">
        <v>0</v>
      </c>
      <c r="AY7" s="551">
        <f t="shared" si="22"/>
        <v>0</v>
      </c>
      <c r="AZ7" s="551" t="str">
        <f>VLOOKUP(L7,'Spec Sheet (2)'!$A$4:$FJ$16684,166,0)</f>
        <v>Slitting</v>
      </c>
      <c r="BA7" s="552">
        <f t="shared" si="23"/>
        <v>0</v>
      </c>
      <c r="BB7" s="553">
        <f>VLOOKUP(L7,'Spec Sheet (2)'!$A$4:$AL$3749,38,0)</f>
        <v>104399</v>
      </c>
      <c r="BC7" s="554" t="str">
        <f>VLOOKUP(L7,'Spec Sheet (2)'!$A$4:$O$26703,15,0)</f>
        <v>1215mmX8Mic PET Chemical</v>
      </c>
      <c r="BD7" s="555">
        <f>VLOOKUP(L7,'Spec Sheet (2)'!$A$4:$L$26703,11,0)</f>
        <v>8</v>
      </c>
      <c r="BE7" s="556">
        <f>VLOOKUP(L7,'Spec Sheet (2)'!$A$4:$J$26703,9,0)/1000</f>
        <v>1.2150000000000001</v>
      </c>
      <c r="BF7" s="557">
        <f>AB7*BE7*BD7*VLOOKUP(L7,'Spec Sheet (2)'!$A$4:$L$25803,12,0)</f>
        <v>231.49606299212599</v>
      </c>
      <c r="BG7" s="558">
        <f>IF(ISNA(VLOOKUP(BB7,'ALL STOCK'!$C$3:$N$990,12,0)),"-",VLOOKUP(BB7,'ALL STOCK'!$C$3:$N$990,12,0))</f>
        <v>4615.5</v>
      </c>
      <c r="BH7" s="558">
        <f>IF(ISNA(VLOOKUP(BB7,'ALL STOCK'!$C$3:$J$990,8,0)),"-",VLOOKUP(BB7,'ALL STOCK'!$C$3:$J$990,8,0))</f>
        <v>0</v>
      </c>
      <c r="BI7" s="559"/>
      <c r="BJ7" s="560">
        <f>VLOOKUP(L7,'Spec Sheet (2)'!$A$4:$AM$9,39,0)</f>
        <v>104402</v>
      </c>
      <c r="BK7" s="554" t="str">
        <f>VLOOKUP(L7,'Spec Sheet (2)'!$A$4:$Z$26703,26,0)</f>
        <v>1210mmx8mic Met Pet Chemical</v>
      </c>
      <c r="BL7" s="555">
        <f>VLOOKUP(L7,'Spec Sheet (2)'!$A$4:$V$9,22,0)</f>
        <v>8</v>
      </c>
      <c r="BM7" s="556">
        <f>VLOOKUP(L7,'Spec Sheet (2)'!$A$4:$T$26703,20,0)/1000</f>
        <v>1.21</v>
      </c>
      <c r="BN7" s="561">
        <f t="shared" si="24"/>
        <v>230.54340429668511</v>
      </c>
      <c r="BO7" s="562">
        <f>IF(ISNA(VLOOKUP(BJ7,'ALL STOCK'!$C$4:$N$990,12,0)),"-",VLOOKUP(BJ7,'ALL STOCK'!$C$4:$N$990,12,0))</f>
        <v>4546.2299999999996</v>
      </c>
      <c r="BP7" s="562">
        <f>IF(ISNA(VLOOKUP(BJ7,'ALL STOCK'!$C$4:$J$990,8,0)),"-",VLOOKUP(BJ7,'ALL STOCK'!$C$4:$J$990,8,0))</f>
        <v>0</v>
      </c>
      <c r="BQ7" s="563"/>
      <c r="BR7" s="564">
        <f>VLOOKUP(L7,'Spec Sheet (2)'!$A$4:$AN$9,40,0)</f>
        <v>104432</v>
      </c>
      <c r="BS7" s="565" t="str">
        <f>VLOOKUP(L7,'Spec Sheet (2)'!$A$4:$FD$9,160,0)</f>
        <v>L</v>
      </c>
      <c r="BT7" s="554" t="str">
        <f>VLOOKUP(L7,'Spec Sheet (2)'!$A$4:$AK$26703,37,0)</f>
        <v>1215mmX 25mic PE (Natural)</v>
      </c>
      <c r="BU7" s="555">
        <f>VLOOKUP(L7,'Spec Sheet (2)'!$A$4:$AG$26703,33,0)</f>
        <v>25</v>
      </c>
      <c r="BV7" s="556">
        <f>VLOOKUP(L7,'Spec Sheet (2)'!$A$4:$AE$26703,31,0)/1000</f>
        <v>1.2150000000000001</v>
      </c>
      <c r="BW7" s="566">
        <f t="shared" si="25"/>
        <v>475.3937007874016</v>
      </c>
      <c r="BX7" s="567">
        <f>IF(ISNA(VLOOKUP(BR7,'ALL STOCK'!$C$3:$N$990,12,0)),"-",VLOOKUP(BR7,'ALL STOCK'!$C$3:$N$990,12,0))</f>
        <v>2304.6</v>
      </c>
      <c r="BY7" s="567">
        <f>IF(ISNA(VLOOKUP(BR7,'ALL STOCK'!$C$4:$J$990,8,)),"-",VLOOKUP(BR7,'ALL STOCK'!$C$4:$J$990,8,))</f>
        <v>5500</v>
      </c>
      <c r="BZ7" s="568">
        <f>VLOOKUP(L7,'Spec Sheet (2)'!$A$4:$B$25803,2,0)</f>
        <v>1008</v>
      </c>
      <c r="CA7" s="569" t="str">
        <f>VLOOKUP(L7,'Spec Sheet (2)'!$A$4:$FO$25803,171,0)</f>
        <v>3ply</v>
      </c>
      <c r="CB7" s="559" t="str">
        <f>VLOOKUP(L7,'Spec Sheet (2)'!$A$4:$FF$9,161,0)</f>
        <v>L</v>
      </c>
      <c r="CC7" s="570">
        <f>VLOOKUP(L7,'Spec Sheet (2)'!$A$4:$M$25803,13,0)</f>
        <v>11.2</v>
      </c>
      <c r="CD7" s="570">
        <f>VLOOKUP(L7,'Spec Sheet (2)'!$A$4:$X$26703,24,0)</f>
        <v>11.2</v>
      </c>
      <c r="CE7" s="571">
        <f>VLOOKUP(L7,'Spec Sheet (2)'!$A$4:$AI$25803,35,0)</f>
        <v>23</v>
      </c>
      <c r="CF7" s="572">
        <f>VLOOKUP(L7,'Spec Sheet (2)'!$A$4:$BF$26703,58,0)</f>
        <v>1.2</v>
      </c>
      <c r="CG7" s="572">
        <f>VLOOKUP(L7,'Spec Sheet (2)'!$A$4:$FN$25803,169,0)</f>
        <v>2.5</v>
      </c>
      <c r="CH7" s="572">
        <f>VLOOKUP(L7,'Spec Sheet (2)'!$A$4:$FN$25803,170,0)</f>
        <v>1.7</v>
      </c>
      <c r="CI7" s="572">
        <f>VLOOKUP(L7,'Spec Sheet (2)'!$A$4:$CX$26703,102,0)</f>
        <v>0</v>
      </c>
      <c r="CJ7" s="573">
        <f>VLOOKUP(L7,'Spec Sheet (2)'!$A$4:$DC$26703,107,0)</f>
        <v>0</v>
      </c>
      <c r="CK7" s="570">
        <f t="shared" si="26"/>
        <v>50.800000000000004</v>
      </c>
      <c r="CL7" s="574">
        <f>VLOOKUP(L7,'Spec Sheet (2)'!$A$4:$FL$26703,168,0)</f>
        <v>1.05</v>
      </c>
      <c r="CM7" s="574">
        <f>VLOOKUP(L7,'Spec Sheet (2)'!$A$4:$I$26703,9,0)</f>
        <v>1215</v>
      </c>
      <c r="CN7" s="574">
        <f>VLOOKUP(L7,'Spec Sheet (2)'!$A$4:$FP$26703,172,0)</f>
        <v>26.099999999999998</v>
      </c>
      <c r="CO7" s="575" t="str">
        <f>VLOOKUP(L7,'Spec Sheet (2)'!$A$4:$D$26703,4,0)</f>
        <v>PARTY-4</v>
      </c>
      <c r="CP7" s="368"/>
      <c r="CQ7" s="576">
        <f t="shared" si="27"/>
        <v>539.46850393700777</v>
      </c>
      <c r="CR7" s="520"/>
      <c r="CS7" s="520"/>
      <c r="CT7" s="577"/>
      <c r="CU7" s="520"/>
    </row>
    <row r="8" spans="1:110" ht="17.25" customHeight="1">
      <c r="A8" s="521" t="str">
        <f t="shared" si="0"/>
        <v>SO-5</v>
      </c>
      <c r="B8" s="522" t="str">
        <f>VLOOKUP(L8,'Spec Sheet (2)'!$A$4:$GD$26703,186,0)</f>
        <v>SPICE</v>
      </c>
      <c r="C8" s="523"/>
      <c r="D8" s="524"/>
      <c r="E8" s="525"/>
      <c r="F8" s="526" t="str">
        <f>VLOOKUP(L8,'Spec Sheet (2)'!$A$4:$S$9,19,0)</f>
        <v>Met Pet Corona</v>
      </c>
      <c r="G8" s="527">
        <f>VLOOKUP(L8,'Spec Sheet (2)'!$A$4:$B$739,2,0)</f>
        <v>1009</v>
      </c>
      <c r="H8" s="607">
        <f>VLOOKUP(K8,'ORDER BOOK'!$I$3:$W$18,15,0)</f>
        <v>46141</v>
      </c>
      <c r="I8" s="528"/>
      <c r="J8" s="528" t="str">
        <f>VLOOKUP(L8,'Spec Sheet (2)'!$A$4:$CV$26703,100,0)</f>
        <v>-</v>
      </c>
      <c r="K8" s="578" t="s">
        <v>998</v>
      </c>
      <c r="L8" s="171" t="s">
        <v>1010</v>
      </c>
      <c r="M8" s="287" t="str">
        <f>VLOOKUP(K8,'ORDER BOOK'!$I$3:$K$18,3,0)</f>
        <v>C-5</v>
      </c>
      <c r="N8" s="530"/>
      <c r="O8" s="531" t="str">
        <f t="shared" si="1"/>
        <v>BAL</v>
      </c>
      <c r="P8" s="350">
        <f t="shared" si="2"/>
        <v>862.5</v>
      </c>
      <c r="Q8" s="532">
        <v>11.5</v>
      </c>
      <c r="R8" s="596">
        <v>75000</v>
      </c>
      <c r="S8" s="533" t="s">
        <v>115</v>
      </c>
      <c r="T8" s="534">
        <f t="shared" si="3"/>
        <v>217.6401869158878</v>
      </c>
      <c r="U8" s="535">
        <f t="shared" si="4"/>
        <v>9.9515403253721004</v>
      </c>
      <c r="V8" s="536">
        <f t="shared" si="5"/>
        <v>0</v>
      </c>
      <c r="W8" s="537" t="str">
        <f t="shared" si="6"/>
        <v>NO</v>
      </c>
      <c r="X8" s="538">
        <v>0</v>
      </c>
      <c r="Y8" s="539">
        <f t="shared" si="7"/>
        <v>0</v>
      </c>
      <c r="Z8" s="540">
        <f t="shared" si="8"/>
        <v>217.6401869158878</v>
      </c>
      <c r="AA8" s="533" t="str">
        <f t="shared" si="9"/>
        <v>NO</v>
      </c>
      <c r="AB8" s="541">
        <f t="shared" si="10"/>
        <v>9.9515403253721004</v>
      </c>
      <c r="AC8" s="542">
        <f t="shared" si="11"/>
        <v>217.6401869158878</v>
      </c>
      <c r="AD8" s="542">
        <f t="shared" si="12"/>
        <v>9.9515403253721004</v>
      </c>
      <c r="AE8" s="543">
        <f>VLOOKUP(L8,'Spec Sheet (2)'!$A$4:$BE$9,57,0)/1000</f>
        <v>1.2</v>
      </c>
      <c r="AF8" s="544">
        <f t="shared" si="13"/>
        <v>0</v>
      </c>
      <c r="AG8" s="544">
        <f t="shared" si="14"/>
        <v>0</v>
      </c>
      <c r="AH8" s="544">
        <f t="shared" si="15"/>
        <v>19.903080650744201</v>
      </c>
      <c r="AI8" s="545">
        <v>0</v>
      </c>
      <c r="AJ8" s="546">
        <f t="shared" si="16"/>
        <v>0</v>
      </c>
      <c r="AK8" s="546" t="str">
        <f>VLOOKUP(L8,'Spec Sheet (2)'!$A$4:$FG$15742,163,0)</f>
        <v>solv.Less</v>
      </c>
      <c r="AL8" s="547">
        <f t="shared" si="17"/>
        <v>0</v>
      </c>
      <c r="AM8" s="545">
        <v>0</v>
      </c>
      <c r="AN8" s="545">
        <v>0</v>
      </c>
      <c r="AO8" s="548">
        <f t="shared" si="18"/>
        <v>0</v>
      </c>
      <c r="AP8" s="548">
        <f>VLOOKUP(L8,'Spec Sheet (2)'!$A$4:$FH$9,164,0)</f>
        <v>0</v>
      </c>
      <c r="AQ8" s="549">
        <f t="shared" si="19"/>
        <v>440.11682242990645</v>
      </c>
      <c r="AR8" s="545">
        <v>0</v>
      </c>
      <c r="AS8" s="545">
        <v>0</v>
      </c>
      <c r="AT8" s="550">
        <f t="shared" si="20"/>
        <v>0</v>
      </c>
      <c r="AU8" s="550" t="str">
        <f>VLOOKUP(L8,'Spec Sheet (2)'!$A$4:$FI$9,165,0)</f>
        <v>solv.Less</v>
      </c>
      <c r="AV8" s="551">
        <f t="shared" si="21"/>
        <v>887.51250000000016</v>
      </c>
      <c r="AW8" s="545">
        <v>0</v>
      </c>
      <c r="AX8" s="545">
        <v>0</v>
      </c>
      <c r="AY8" s="551">
        <f t="shared" si="22"/>
        <v>0</v>
      </c>
      <c r="AZ8" s="551" t="str">
        <f>VLOOKUP(L8,'Spec Sheet (2)'!$A$4:$FJ$16684,166,0)</f>
        <v>Slitting</v>
      </c>
      <c r="BA8" s="552">
        <f t="shared" si="23"/>
        <v>0</v>
      </c>
      <c r="BB8" s="553">
        <f>VLOOKUP(L8,'Spec Sheet (2)'!$A$4:$AL$3749,38,0)</f>
        <v>100019</v>
      </c>
      <c r="BC8" s="554" t="str">
        <f>VLOOKUP(L8,'Spec Sheet (2)'!$A$4:$O$26703,15,0)</f>
        <v>1215mmX12Mic PET Corona</v>
      </c>
      <c r="BD8" s="555">
        <f>VLOOKUP(L8,'Spec Sheet (2)'!$A$4:$L$26703,11,0)</f>
        <v>12</v>
      </c>
      <c r="BE8" s="556">
        <f>VLOOKUP(L8,'Spec Sheet (2)'!$A$4:$J$26703,9,0)/1000</f>
        <v>1.2150000000000001</v>
      </c>
      <c r="BF8" s="557">
        <f>AB8*BE8*BD8*VLOOKUP(L8,'Spec Sheet (2)'!$A$4:$L$25803,12,0)</f>
        <v>203.13084112149534</v>
      </c>
      <c r="BG8" s="558">
        <f>IF(ISNA(VLOOKUP(BB8,'ALL STOCK'!$C$3:$N$990,12,0)),"-",VLOOKUP(BB8,'ALL STOCK'!$C$3:$N$990,12,0))</f>
        <v>3535.89</v>
      </c>
      <c r="BH8" s="558">
        <f>IF(ISNA(VLOOKUP(BB8,'ALL STOCK'!$C$3:$J$990,8,0)),"-",VLOOKUP(BB8,'ALL STOCK'!$C$3:$J$990,8,0))</f>
        <v>0</v>
      </c>
      <c r="BI8" s="559"/>
      <c r="BJ8" s="560">
        <f>VLOOKUP(L8,'Spec Sheet (2)'!$A$4:$AM$9,39,0)</f>
        <v>104783</v>
      </c>
      <c r="BK8" s="554" t="str">
        <f>VLOOKUP(L8,'Spec Sheet (2)'!$A$4:$Z$26703,26,0)</f>
        <v>1210mmx12mic Met Pet Corona</v>
      </c>
      <c r="BL8" s="555">
        <f>VLOOKUP(L8,'Spec Sheet (2)'!$A$4:$V$9,22,0)</f>
        <v>12</v>
      </c>
      <c r="BM8" s="556">
        <f>VLOOKUP(L8,'Spec Sheet (2)'!$A$4:$T$26703,20,0)/1000</f>
        <v>1.21</v>
      </c>
      <c r="BN8" s="561">
        <f t="shared" si="24"/>
        <v>202.29491173416403</v>
      </c>
      <c r="BO8" s="562">
        <f>IF(ISNA(VLOOKUP(BJ8,'ALL STOCK'!$C$4:$N$990,12,0)),"-",VLOOKUP(BJ8,'ALL STOCK'!$C$4:$N$990,12,0))</f>
        <v>1000.84</v>
      </c>
      <c r="BP8" s="562">
        <f>IF(ISNA(VLOOKUP(BJ8,'ALL STOCK'!$C$4:$J$990,8,0)),"-",VLOOKUP(BJ8,'ALL STOCK'!$C$4:$J$990,8,0))</f>
        <v>0</v>
      </c>
      <c r="BQ8" s="563"/>
      <c r="BR8" s="564">
        <f>VLOOKUP(L8,'Spec Sheet (2)'!$A$4:$AN$9,40,0)</f>
        <v>104847</v>
      </c>
      <c r="BS8" s="565" t="str">
        <f>VLOOKUP(L8,'Spec Sheet (2)'!$A$4:$FD$9,160,0)</f>
        <v>L</v>
      </c>
      <c r="BT8" s="554" t="str">
        <f>VLOOKUP(L8,'Spec Sheet (2)'!$A$4:$AK$26703,37,0)</f>
        <v>1215mmX 40mic PE (Natural)</v>
      </c>
      <c r="BU8" s="555">
        <f>VLOOKUP(L8,'Spec Sheet (2)'!$A$4:$AG$26703,33,0)</f>
        <v>40</v>
      </c>
      <c r="BV8" s="556">
        <f>VLOOKUP(L8,'Spec Sheet (2)'!$A$4:$AE$26703,31,0)/1000</f>
        <v>1.2150000000000001</v>
      </c>
      <c r="BW8" s="566">
        <f t="shared" si="25"/>
        <v>444.95327102803742</v>
      </c>
      <c r="BX8" s="567">
        <f>IF(ISNA(VLOOKUP(BR8,'ALL STOCK'!$C$3:$N$990,12,0)),"-",VLOOKUP(BR8,'ALL STOCK'!$C$3:$N$990,12,0))</f>
        <v>109.2</v>
      </c>
      <c r="BY8" s="567">
        <f>IF(ISNA(VLOOKUP(BR8,'ALL STOCK'!$C$4:$J$990,8,)),"-",VLOOKUP(BR8,'ALL STOCK'!$C$4:$J$990,8,))</f>
        <v>0</v>
      </c>
      <c r="BZ8" s="568">
        <f>VLOOKUP(L8,'Spec Sheet (2)'!$A$4:$B$25803,2,0)</f>
        <v>1009</v>
      </c>
      <c r="CA8" s="569" t="str">
        <f>VLOOKUP(L8,'Spec Sheet (2)'!$A$4:$FO$25803,171,0)</f>
        <v>3ply</v>
      </c>
      <c r="CB8" s="559" t="str">
        <f>VLOOKUP(L8,'Spec Sheet (2)'!$A$4:$FF$9,161,0)</f>
        <v>L</v>
      </c>
      <c r="CC8" s="570">
        <f>VLOOKUP(L8,'Spec Sheet (2)'!$A$4:$M$25803,13,0)</f>
        <v>16.799999999999997</v>
      </c>
      <c r="CD8" s="570">
        <f>VLOOKUP(L8,'Spec Sheet (2)'!$A$4:$X$26703,24,0)</f>
        <v>16.799999999999997</v>
      </c>
      <c r="CE8" s="571">
        <f>VLOOKUP(L8,'Spec Sheet (2)'!$A$4:$AI$25803,35,0)</f>
        <v>36.800000000000004</v>
      </c>
      <c r="CF8" s="572">
        <f>VLOOKUP(L8,'Spec Sheet (2)'!$A$4:$BF$26703,58,0)</f>
        <v>1.2</v>
      </c>
      <c r="CG8" s="572">
        <f>VLOOKUP(L8,'Spec Sheet (2)'!$A$4:$FN$25803,169,0)</f>
        <v>1.6</v>
      </c>
      <c r="CH8" s="572">
        <f>VLOOKUP(L8,'Spec Sheet (2)'!$A$4:$FN$25803,170,0)</f>
        <v>1.7</v>
      </c>
      <c r="CI8" s="572">
        <f>VLOOKUP(L8,'Spec Sheet (2)'!$A$4:$CX$26703,102,0)</f>
        <v>0</v>
      </c>
      <c r="CJ8" s="573">
        <f>VLOOKUP(L8,'Spec Sheet (2)'!$A$4:$DC$26703,107,0)</f>
        <v>0</v>
      </c>
      <c r="CK8" s="570">
        <f t="shared" si="26"/>
        <v>74.900000000000006</v>
      </c>
      <c r="CL8" s="574">
        <f>VLOOKUP(L8,'Spec Sheet (2)'!$A$4:$FL$26703,168,0)</f>
        <v>1.05</v>
      </c>
      <c r="CM8" s="574">
        <f>VLOOKUP(L8,'Spec Sheet (2)'!$A$4:$I$26703,9,0)</f>
        <v>1215</v>
      </c>
      <c r="CN8" s="574">
        <f>VLOOKUP(L8,'Spec Sheet (2)'!$A$4:$FP$26703,172,0)</f>
        <v>36.399999999999991</v>
      </c>
      <c r="CO8" s="575" t="str">
        <f>VLOOKUP(L8,'Spec Sheet (2)'!$A$4:$D$26703,4,0)</f>
        <v>PARTY-5</v>
      </c>
      <c r="CP8" s="368"/>
      <c r="CQ8" s="576">
        <f t="shared" si="27"/>
        <v>440.11682242990645</v>
      </c>
      <c r="CR8" s="520"/>
      <c r="CS8" s="520"/>
      <c r="CT8" s="577"/>
      <c r="CU8" s="520"/>
    </row>
    <row r="9" spans="1:110" ht="17.25" customHeight="1">
      <c r="A9" s="521" t="str">
        <f t="shared" si="0"/>
        <v>SO-6</v>
      </c>
      <c r="B9" s="522" t="str">
        <f>VLOOKUP(L9,'Spec Sheet (2)'!$A$4:$GD$26703,186,0)</f>
        <v>FLOW WRAP</v>
      </c>
      <c r="C9" s="523"/>
      <c r="D9" s="524"/>
      <c r="E9" s="525"/>
      <c r="F9" s="526" t="str">
        <f>VLOOKUP(L9,'Spec Sheet (2)'!$A$4:$S$9,19,0)</f>
        <v>PE (White)</v>
      </c>
      <c r="G9" s="527">
        <f>VLOOKUP(L9,'Spec Sheet (2)'!$A$4:$B$739,2,0)</f>
        <v>1010</v>
      </c>
      <c r="H9" s="607">
        <f>VLOOKUP(K9,'ORDER BOOK'!$I$3:$W$18,15,0)</f>
        <v>46141</v>
      </c>
      <c r="I9" s="528"/>
      <c r="J9" s="528" t="str">
        <f>VLOOKUP(L9,'Spec Sheet (2)'!$A$4:$CV$26703,100,0)</f>
        <v>-</v>
      </c>
      <c r="K9" s="578" t="s">
        <v>999</v>
      </c>
      <c r="L9" s="171" t="s">
        <v>1011</v>
      </c>
      <c r="M9" s="287" t="str">
        <f>VLOOKUP(K9,'ORDER BOOK'!$I$3:$K$18,3,0)</f>
        <v>C-6</v>
      </c>
      <c r="N9" s="530"/>
      <c r="O9" s="531" t="str">
        <f t="shared" si="1"/>
        <v>BAL</v>
      </c>
      <c r="P9" s="350">
        <f t="shared" si="2"/>
        <v>1000</v>
      </c>
      <c r="Q9" s="532">
        <v>1</v>
      </c>
      <c r="R9" s="596">
        <v>1000</v>
      </c>
      <c r="S9" s="533" t="s">
        <v>113</v>
      </c>
      <c r="T9" s="534">
        <f t="shared" si="3"/>
        <v>358.98285268901009</v>
      </c>
      <c r="U9" s="535">
        <f t="shared" si="4"/>
        <v>17.163894462778394</v>
      </c>
      <c r="V9" s="536">
        <f t="shared" si="5"/>
        <v>0</v>
      </c>
      <c r="W9" s="537" t="str">
        <f t="shared" si="6"/>
        <v>KG</v>
      </c>
      <c r="X9" s="538">
        <v>0</v>
      </c>
      <c r="Y9" s="539">
        <f t="shared" si="7"/>
        <v>0</v>
      </c>
      <c r="Z9" s="540">
        <f t="shared" si="8"/>
        <v>358.98285268901009</v>
      </c>
      <c r="AA9" s="533" t="str">
        <f t="shared" si="9"/>
        <v>KG</v>
      </c>
      <c r="AB9" s="541">
        <f t="shared" si="10"/>
        <v>17.163894462778394</v>
      </c>
      <c r="AC9" s="542">
        <f t="shared" si="11"/>
        <v>358.98285268901009</v>
      </c>
      <c r="AD9" s="542">
        <f t="shared" si="12"/>
        <v>17.163894462778394</v>
      </c>
      <c r="AE9" s="543">
        <f>VLOOKUP(L9,'Spec Sheet (2)'!$A$4:$BE$9,57,0)/1000</f>
        <v>1.1599999999999999</v>
      </c>
      <c r="AF9" s="544">
        <f t="shared" si="13"/>
        <v>0</v>
      </c>
      <c r="AG9" s="544">
        <f t="shared" si="14"/>
        <v>17.163894462778394</v>
      </c>
      <c r="AH9" s="544">
        <f t="shared" si="15"/>
        <v>0</v>
      </c>
      <c r="AI9" s="545">
        <v>0</v>
      </c>
      <c r="AJ9" s="546">
        <f t="shared" si="16"/>
        <v>0</v>
      </c>
      <c r="AK9" s="546" t="str">
        <f>VLOOKUP(L9,'Spec Sheet (2)'!$A$4:$FG$15742,163,0)</f>
        <v>solv.Less</v>
      </c>
      <c r="AL9" s="547">
        <f t="shared" si="17"/>
        <v>0</v>
      </c>
      <c r="AM9" s="545">
        <v>0</v>
      </c>
      <c r="AN9" s="545">
        <v>0</v>
      </c>
      <c r="AO9" s="548">
        <f t="shared" si="18"/>
        <v>0</v>
      </c>
      <c r="AP9" s="548">
        <f>VLOOKUP(L9,'Spec Sheet (2)'!$A$4:$FH$9,164,0)</f>
        <v>0</v>
      </c>
      <c r="AQ9" s="549">
        <f t="shared" si="19"/>
        <v>1034.9999999999998</v>
      </c>
      <c r="AR9" s="545">
        <v>0</v>
      </c>
      <c r="AS9" s="545">
        <v>0</v>
      </c>
      <c r="AT9" s="550">
        <f t="shared" si="20"/>
        <v>0</v>
      </c>
      <c r="AU9" s="550" t="str">
        <f>VLOOKUP(L9,'Spec Sheet (2)'!$A$4:$FI$9,165,0)</f>
        <v>Slitting</v>
      </c>
      <c r="AV9" s="551">
        <f t="shared" si="21"/>
        <v>1014.2999999999997</v>
      </c>
      <c r="AW9" s="545">
        <v>0</v>
      </c>
      <c r="AX9" s="545">
        <v>0</v>
      </c>
      <c r="AY9" s="551">
        <f t="shared" si="22"/>
        <v>0</v>
      </c>
      <c r="AZ9" s="551">
        <f>VLOOKUP(L9,'Spec Sheet (2)'!$A$4:$FJ$16684,166,0)</f>
        <v>0</v>
      </c>
      <c r="BA9" s="552">
        <f t="shared" si="23"/>
        <v>0</v>
      </c>
      <c r="BB9" s="553">
        <f>VLOOKUP(L9,'Spec Sheet (2)'!$A$4:$AL$3749,38,0)</f>
        <v>100393</v>
      </c>
      <c r="BC9" s="554" t="str">
        <f>VLOOKUP(L9,'Spec Sheet (2)'!$A$4:$O$26703,15,0)</f>
        <v>1175mmX12Mic PET Corona</v>
      </c>
      <c r="BD9" s="555">
        <f>VLOOKUP(L9,'Spec Sheet (2)'!$A$4:$L$26703,11,0)</f>
        <v>12</v>
      </c>
      <c r="BE9" s="556">
        <f>VLOOKUP(L9,'Spec Sheet (2)'!$A$4:$J$26703,9,0)/1000</f>
        <v>1.175</v>
      </c>
      <c r="BF9" s="557">
        <f>AB9*BE9*BD9*VLOOKUP(L9,'Spec Sheet (2)'!$A$4:$L$25803,12,0)</f>
        <v>338.81527669524553</v>
      </c>
      <c r="BG9" s="558">
        <f>IF(ISNA(VLOOKUP(BB9,'ALL STOCK'!$C$3:$N$990,12,0)),"-",VLOOKUP(BB9,'ALL STOCK'!$C$3:$N$990,12,0))</f>
        <v>1632.64</v>
      </c>
      <c r="BH9" s="558">
        <f>IF(ISNA(VLOOKUP(BB9,'ALL STOCK'!$C$3:$J$990,8,0)),"-",VLOOKUP(BB9,'ALL STOCK'!$C$3:$J$990,8,0))</f>
        <v>0</v>
      </c>
      <c r="BI9" s="559"/>
      <c r="BJ9" s="560">
        <f>VLOOKUP(L9,'Spec Sheet (2)'!$A$4:$AM$9,39,0)</f>
        <v>0</v>
      </c>
      <c r="BK9" s="554" t="str">
        <f>VLOOKUP(L9,'Spec Sheet (2)'!$A$4:$Z$26703,26,0)</f>
        <v>1175mmx33mic PE (White)</v>
      </c>
      <c r="BL9" s="555">
        <f>VLOOKUP(L9,'Spec Sheet (2)'!$A$4:$V$9,22,0)</f>
        <v>33</v>
      </c>
      <c r="BM9" s="556">
        <f>VLOOKUP(L9,'Spec Sheet (2)'!$A$4:$T$26703,20,0)/1000</f>
        <v>1.175</v>
      </c>
      <c r="BN9" s="561">
        <f t="shared" si="24"/>
        <v>625.59820732657829</v>
      </c>
      <c r="BO9" s="562" t="str">
        <f>IF(ISNA(VLOOKUP(BJ9,'ALL STOCK'!$C$4:$N$990,12,0)),"-",VLOOKUP(BJ9,'ALL STOCK'!$C$4:$N$990,12,0))</f>
        <v>-</v>
      </c>
      <c r="BP9" s="562" t="str">
        <f>IF(ISNA(VLOOKUP(BJ9,'ALL STOCK'!$C$4:$J$990,8,0)),"-",VLOOKUP(BJ9,'ALL STOCK'!$C$4:$J$990,8,0))</f>
        <v>-</v>
      </c>
      <c r="BQ9" s="563"/>
      <c r="BR9" s="564">
        <f>VLOOKUP(L9,'Spec Sheet (2)'!$A$4:$AN$9,40,0)</f>
        <v>0</v>
      </c>
      <c r="BS9" s="565" t="str">
        <f>VLOOKUP(L9,'Spec Sheet (2)'!$A$4:$FD$9,160,0)</f>
        <v>B</v>
      </c>
      <c r="BT9" s="554" t="str">
        <f>VLOOKUP(L9,'Spec Sheet (2)'!$A$4:$AK$26703,37,0)</f>
        <v xml:space="preserve">mmX mic  </v>
      </c>
      <c r="BU9" s="555">
        <f>VLOOKUP(L9,'Spec Sheet (2)'!$A$4:$AG$26703,33,0)</f>
        <v>0</v>
      </c>
      <c r="BV9" s="556">
        <f>VLOOKUP(L9,'Spec Sheet (2)'!$A$4:$AE$26703,31,0)/1000</f>
        <v>0</v>
      </c>
      <c r="BW9" s="566">
        <f t="shared" si="25"/>
        <v>0</v>
      </c>
      <c r="BX9" s="567" t="str">
        <f>IF(ISNA(VLOOKUP(BR9,'ALL STOCK'!$C$3:$N$990,12,0)),"-",VLOOKUP(BR9,'ALL STOCK'!$C$3:$N$990,12,0))</f>
        <v>-</v>
      </c>
      <c r="BY9" s="567" t="str">
        <f>IF(ISNA(VLOOKUP(BR9,'ALL STOCK'!$C$4:$J$990,8,)),"-",VLOOKUP(BR9,'ALL STOCK'!$C$4:$J$990,8,))</f>
        <v>-</v>
      </c>
      <c r="BZ9" s="568">
        <f>VLOOKUP(L9,'Spec Sheet (2)'!$A$4:$B$25803,2,0)</f>
        <v>1010</v>
      </c>
      <c r="CA9" s="569" t="str">
        <f>VLOOKUP(L9,'Spec Sheet (2)'!$A$4:$FO$25803,171,0)</f>
        <v>2PLY</v>
      </c>
      <c r="CB9" s="559" t="str">
        <f>VLOOKUP(L9,'Spec Sheet (2)'!$A$4:$FF$9,161,0)</f>
        <v>X</v>
      </c>
      <c r="CC9" s="570">
        <f>VLOOKUP(L9,'Spec Sheet (2)'!$A$4:$M$25803,13,0)</f>
        <v>16.799999999999997</v>
      </c>
      <c r="CD9" s="570">
        <f>VLOOKUP(L9,'Spec Sheet (2)'!$A$4:$X$26703,24,0)</f>
        <v>31.02</v>
      </c>
      <c r="CE9" s="571">
        <f>VLOOKUP(L9,'Spec Sheet (2)'!$A$4:$AI$25803,35,0)</f>
        <v>0</v>
      </c>
      <c r="CF9" s="572">
        <f>VLOOKUP(L9,'Spec Sheet (2)'!$A$4:$BF$26703,58,0)</f>
        <v>1</v>
      </c>
      <c r="CG9" s="572">
        <f>VLOOKUP(L9,'Spec Sheet (2)'!$A$4:$FN$25803,169,0)</f>
        <v>2.5</v>
      </c>
      <c r="CH9" s="572">
        <f>VLOOKUP(L9,'Spec Sheet (2)'!$A$4:$FN$25803,170,0)</f>
        <v>0</v>
      </c>
      <c r="CI9" s="572">
        <f>VLOOKUP(L9,'Spec Sheet (2)'!$A$4:$CX$26703,102,0)</f>
        <v>0</v>
      </c>
      <c r="CJ9" s="573">
        <f>VLOOKUP(L9,'Spec Sheet (2)'!$A$4:$DC$26703,107,0)</f>
        <v>0</v>
      </c>
      <c r="CK9" s="570">
        <f t="shared" si="26"/>
        <v>51.319999999999993</v>
      </c>
      <c r="CL9" s="574">
        <f>VLOOKUP(L9,'Spec Sheet (2)'!$A$4:$FL$26703,168,0)</f>
        <v>1.0349999999999999</v>
      </c>
      <c r="CM9" s="574">
        <f>VLOOKUP(L9,'Spec Sheet (2)'!$A$4:$I$26703,9,0)</f>
        <v>1175</v>
      </c>
      <c r="CN9" s="574">
        <f>VLOOKUP(L9,'Spec Sheet (2)'!$A$4:$FP$26703,172,0)</f>
        <v>51.319999999999993</v>
      </c>
      <c r="CO9" s="575" t="str">
        <f>VLOOKUP(L9,'Spec Sheet (2)'!$A$4:$D$26703,4,0)</f>
        <v>PARTY-6</v>
      </c>
      <c r="CP9" s="368"/>
      <c r="CQ9" s="576">
        <f t="shared" si="27"/>
        <v>1034.9999999999998</v>
      </c>
      <c r="CR9" s="520"/>
      <c r="CS9" s="520"/>
      <c r="CT9" s="577"/>
      <c r="CU9" s="520"/>
    </row>
    <row r="10" spans="1:110" ht="17.25" customHeight="1">
      <c r="A10" s="521">
        <f t="shared" si="0"/>
        <v>0</v>
      </c>
      <c r="B10" s="522" t="e">
        <f>VLOOKUP(L10,'Spec Sheet (2)'!$A$4:$GD$26703,186,0)</f>
        <v>#N/A</v>
      </c>
      <c r="C10" s="523"/>
      <c r="D10" s="524"/>
      <c r="E10" s="525"/>
      <c r="F10" s="526" t="e">
        <f>VLOOKUP(L10,'Spec Sheet (2)'!$A$4:$S$9,19,0)</f>
        <v>#N/A</v>
      </c>
      <c r="G10" s="527" t="e">
        <f>VLOOKUP(L10,'Spec Sheet (2)'!$A$4:$B$739,2,0)</f>
        <v>#N/A</v>
      </c>
      <c r="H10" s="607" t="e">
        <f>VLOOKUP(K10,'ORDER BOOK'!$I$3:$W$18,15,0)</f>
        <v>#N/A</v>
      </c>
      <c r="I10" s="528"/>
      <c r="J10" s="528" t="e">
        <f>VLOOKUP(L10,'Spec Sheet (2)'!$A$4:$CV$26703,100,0)</f>
        <v>#N/A</v>
      </c>
      <c r="K10" s="578"/>
      <c r="L10" s="171"/>
      <c r="M10" s="287" t="e">
        <f>VLOOKUP(K10,'ORDER BOOK'!$I$3:$K$18,3,0)</f>
        <v>#N/A</v>
      </c>
      <c r="N10" s="530"/>
      <c r="O10" s="531" t="str">
        <f t="shared" si="1"/>
        <v>BAL</v>
      </c>
      <c r="P10" s="350">
        <f t="shared" si="2"/>
        <v>0</v>
      </c>
      <c r="Q10" s="532">
        <v>1</v>
      </c>
      <c r="R10" s="596"/>
      <c r="S10" s="533" t="s">
        <v>113</v>
      </c>
      <c r="T10" s="534" t="e">
        <f t="shared" si="3"/>
        <v>#N/A</v>
      </c>
      <c r="U10" s="535" t="e">
        <f t="shared" si="4"/>
        <v>#N/A</v>
      </c>
      <c r="V10" s="536" t="e">
        <f t="shared" si="5"/>
        <v>#N/A</v>
      </c>
      <c r="W10" s="537" t="str">
        <f t="shared" si="6"/>
        <v>KG</v>
      </c>
      <c r="X10" s="538">
        <v>0</v>
      </c>
      <c r="Y10" s="539" t="e">
        <f t="shared" si="7"/>
        <v>#N/A</v>
      </c>
      <c r="Z10" s="540" t="e">
        <f t="shared" si="8"/>
        <v>#N/A</v>
      </c>
      <c r="AA10" s="533" t="str">
        <f t="shared" si="9"/>
        <v>KG</v>
      </c>
      <c r="AB10" s="541" t="e">
        <f t="shared" si="10"/>
        <v>#N/A</v>
      </c>
      <c r="AC10" s="542" t="e">
        <f t="shared" si="11"/>
        <v>#N/A</v>
      </c>
      <c r="AD10" s="542" t="e">
        <f t="shared" si="12"/>
        <v>#N/A</v>
      </c>
      <c r="AE10" s="543" t="e">
        <f>VLOOKUP(L10,'Spec Sheet (2)'!$A$4:$BE$9,57,0)/1000</f>
        <v>#N/A</v>
      </c>
      <c r="AF10" s="544" t="e">
        <f t="shared" si="13"/>
        <v>#N/A</v>
      </c>
      <c r="AG10" s="544" t="e">
        <f t="shared" si="14"/>
        <v>#N/A</v>
      </c>
      <c r="AH10" s="544" t="e">
        <f t="shared" si="15"/>
        <v>#N/A</v>
      </c>
      <c r="AI10" s="545">
        <v>0</v>
      </c>
      <c r="AJ10" s="546">
        <f t="shared" si="16"/>
        <v>0</v>
      </c>
      <c r="AK10" s="546" t="e">
        <f>VLOOKUP(L10,'Spec Sheet (2)'!$A$4:$FG$15742,163,0)</f>
        <v>#N/A</v>
      </c>
      <c r="AL10" s="547" t="e">
        <f t="shared" si="17"/>
        <v>#N/A</v>
      </c>
      <c r="AM10" s="545">
        <v>0</v>
      </c>
      <c r="AN10" s="545">
        <v>0</v>
      </c>
      <c r="AO10" s="548">
        <f t="shared" si="18"/>
        <v>0</v>
      </c>
      <c r="AP10" s="548" t="e">
        <f>VLOOKUP(L10,'Spec Sheet (2)'!$A$4:$FH$9,164,0)</f>
        <v>#N/A</v>
      </c>
      <c r="AQ10" s="549" t="e">
        <f t="shared" si="19"/>
        <v>#N/A</v>
      </c>
      <c r="AR10" s="545">
        <v>0</v>
      </c>
      <c r="AS10" s="545">
        <v>0</v>
      </c>
      <c r="AT10" s="550">
        <f t="shared" si="20"/>
        <v>0</v>
      </c>
      <c r="AU10" s="550" t="e">
        <f>VLOOKUP(L10,'Spec Sheet (2)'!$A$4:$FI$9,165,0)</f>
        <v>#N/A</v>
      </c>
      <c r="AV10" s="551" t="e">
        <f t="shared" si="21"/>
        <v>#N/A</v>
      </c>
      <c r="AW10" s="545">
        <v>0</v>
      </c>
      <c r="AX10" s="545">
        <v>0</v>
      </c>
      <c r="AY10" s="551">
        <f t="shared" si="22"/>
        <v>0</v>
      </c>
      <c r="AZ10" s="551" t="e">
        <f>VLOOKUP(L10,'Spec Sheet (2)'!$A$4:$FJ$16684,166,0)</f>
        <v>#N/A</v>
      </c>
      <c r="BA10" s="552" t="e">
        <f t="shared" si="23"/>
        <v>#N/A</v>
      </c>
      <c r="BB10" s="553" t="e">
        <f>VLOOKUP(L10,'Spec Sheet (2)'!$A$4:$AL$3749,38,0)</f>
        <v>#N/A</v>
      </c>
      <c r="BC10" s="554" t="e">
        <f>VLOOKUP(L10,'Spec Sheet (2)'!$A$4:$O$26703,15,0)</f>
        <v>#N/A</v>
      </c>
      <c r="BD10" s="555" t="e">
        <f>VLOOKUP(L10,'Spec Sheet (2)'!$A$4:$L$26703,11,0)</f>
        <v>#N/A</v>
      </c>
      <c r="BE10" s="556" t="e">
        <f>VLOOKUP(L10,'Spec Sheet (2)'!$A$4:$J$26703,9,0)/1000</f>
        <v>#N/A</v>
      </c>
      <c r="BF10" s="557" t="e">
        <f>AB10*BE10*BD10*VLOOKUP(L10,'Spec Sheet (2)'!$A$4:$L$25803,12,0)</f>
        <v>#N/A</v>
      </c>
      <c r="BG10" s="558" t="str">
        <f>IF(ISNA(VLOOKUP(BB10,'ALL STOCK'!$C$3:$N$990,12,0)),"-",VLOOKUP(BB10,'ALL STOCK'!$C$3:$N$990,12,0))</f>
        <v>-</v>
      </c>
      <c r="BH10" s="558" t="str">
        <f>IF(ISNA(VLOOKUP(BB10,'ALL STOCK'!$C$3:$J$990,8,0)),"-",VLOOKUP(BB10,'ALL STOCK'!$C$3:$J$990,8,0))</f>
        <v>-</v>
      </c>
      <c r="BI10" s="559"/>
      <c r="BJ10" s="560" t="e">
        <f>VLOOKUP(L10,'Spec Sheet (2)'!$A$4:$AM$9,39,0)</f>
        <v>#N/A</v>
      </c>
      <c r="BK10" s="554" t="e">
        <f>VLOOKUP(L10,'Spec Sheet (2)'!$A$4:$Z$26703,26,0)</f>
        <v>#N/A</v>
      </c>
      <c r="BL10" s="555" t="e">
        <f>VLOOKUP(L10,'Spec Sheet (2)'!$A$4:$V$9,22,0)</f>
        <v>#N/A</v>
      </c>
      <c r="BM10" s="556" t="e">
        <f>VLOOKUP(L10,'Spec Sheet (2)'!$A$4:$T$26703,20,0)/1000</f>
        <v>#N/A</v>
      </c>
      <c r="BN10" s="561" t="e">
        <f t="shared" si="24"/>
        <v>#N/A</v>
      </c>
      <c r="BO10" s="562" t="str">
        <f>IF(ISNA(VLOOKUP(BJ10,'ALL STOCK'!$C$4:$N$990,12,0)),"-",VLOOKUP(BJ10,'ALL STOCK'!$C$4:$N$990,12,0))</f>
        <v>-</v>
      </c>
      <c r="BP10" s="562" t="str">
        <f>IF(ISNA(VLOOKUP(BJ10,'ALL STOCK'!$C$4:$J$990,8,0)),"-",VLOOKUP(BJ10,'ALL STOCK'!$C$4:$J$990,8,0))</f>
        <v>-</v>
      </c>
      <c r="BQ10" s="563"/>
      <c r="BR10" s="564" t="e">
        <f>VLOOKUP(L10,'Spec Sheet (2)'!$A$4:$AN$9,40,0)</f>
        <v>#N/A</v>
      </c>
      <c r="BS10" s="565" t="e">
        <f>VLOOKUP(L10,'Spec Sheet (2)'!$A$4:$FD$9,160,0)</f>
        <v>#N/A</v>
      </c>
      <c r="BT10" s="554" t="e">
        <f>VLOOKUP(L10,'Spec Sheet (2)'!$A$4:$AK$26703,37,0)</f>
        <v>#N/A</v>
      </c>
      <c r="BU10" s="555" t="e">
        <f>VLOOKUP(L10,'Spec Sheet (2)'!$A$4:$AG$26703,33,0)</f>
        <v>#N/A</v>
      </c>
      <c r="BV10" s="556" t="e">
        <f>VLOOKUP(L10,'Spec Sheet (2)'!$A$4:$AE$26703,31,0)/1000</f>
        <v>#N/A</v>
      </c>
      <c r="BW10" s="566" t="e">
        <f t="shared" si="25"/>
        <v>#N/A</v>
      </c>
      <c r="BX10" s="567" t="str">
        <f>IF(ISNA(VLOOKUP(BR10,'ALL STOCK'!$C$3:$N$990,12,0)),"-",VLOOKUP(BR10,'ALL STOCK'!$C$3:$N$990,12,0))</f>
        <v>-</v>
      </c>
      <c r="BY10" s="567" t="str">
        <f>IF(ISNA(VLOOKUP(BR10,'ALL STOCK'!$C$4:$J$990,8,)),"-",VLOOKUP(BR10,'ALL STOCK'!$C$4:$J$990,8,))</f>
        <v>-</v>
      </c>
      <c r="BZ10" s="568" t="e">
        <f>VLOOKUP(L10,'Spec Sheet (2)'!$A$4:$B$25803,2,0)</f>
        <v>#N/A</v>
      </c>
      <c r="CA10" s="569" t="e">
        <f>VLOOKUP(L10,'Spec Sheet (2)'!$A$4:$FO$25803,171,0)</f>
        <v>#N/A</v>
      </c>
      <c r="CB10" s="559" t="e">
        <f>VLOOKUP(L10,'Spec Sheet (2)'!$A$4:$FF$9,161,0)</f>
        <v>#N/A</v>
      </c>
      <c r="CC10" s="570" t="e">
        <f>VLOOKUP(L10,'Spec Sheet (2)'!$A$4:$M$25803,13,0)</f>
        <v>#N/A</v>
      </c>
      <c r="CD10" s="570" t="e">
        <f>VLOOKUP(L10,'Spec Sheet (2)'!$A$4:$X$26703,24,0)</f>
        <v>#N/A</v>
      </c>
      <c r="CE10" s="571" t="e">
        <f>VLOOKUP(L10,'Spec Sheet (2)'!$A$4:$AI$25803,35,0)</f>
        <v>#N/A</v>
      </c>
      <c r="CF10" s="572" t="e">
        <f>VLOOKUP(L10,'Spec Sheet (2)'!$A$4:$BF$26703,58,0)</f>
        <v>#N/A</v>
      </c>
      <c r="CG10" s="572" t="e">
        <f>VLOOKUP(L10,'Spec Sheet (2)'!$A$4:$FN$25803,169,0)</f>
        <v>#N/A</v>
      </c>
      <c r="CH10" s="572" t="e">
        <f>VLOOKUP(L10,'Spec Sheet (2)'!$A$4:$FN$25803,170,0)</f>
        <v>#N/A</v>
      </c>
      <c r="CI10" s="572" t="e">
        <f>VLOOKUP(L10,'Spec Sheet (2)'!$A$4:$CX$26703,102,0)</f>
        <v>#N/A</v>
      </c>
      <c r="CJ10" s="573" t="e">
        <f>VLOOKUP(L10,'Spec Sheet (2)'!$A$4:$DC$26703,107,0)</f>
        <v>#N/A</v>
      </c>
      <c r="CK10" s="570" t="e">
        <f t="shared" si="26"/>
        <v>#N/A</v>
      </c>
      <c r="CL10" s="574" t="e">
        <f>VLOOKUP(L10,'Spec Sheet (2)'!$A$4:$FL$26703,168,0)</f>
        <v>#N/A</v>
      </c>
      <c r="CM10" s="574" t="e">
        <f>VLOOKUP(L10,'Spec Sheet (2)'!$A$4:$I$26703,9,0)</f>
        <v>#N/A</v>
      </c>
      <c r="CN10" s="574" t="e">
        <f>VLOOKUP(L10,'Spec Sheet (2)'!$A$4:$FP$26703,172,0)</f>
        <v>#N/A</v>
      </c>
      <c r="CO10" s="575" t="e">
        <f>VLOOKUP(L10,'Spec Sheet (2)'!$A$4:$D$26703,4,0)</f>
        <v>#N/A</v>
      </c>
      <c r="CP10" s="368"/>
      <c r="CQ10" s="576" t="e">
        <f t="shared" si="27"/>
        <v>#N/A</v>
      </c>
      <c r="CR10" s="520"/>
      <c r="CS10" s="520"/>
      <c r="CT10" s="577"/>
      <c r="CU10" s="520"/>
    </row>
    <row r="11" spans="1:110" ht="17.25" customHeight="1">
      <c r="A11" s="521">
        <f t="shared" si="0"/>
        <v>0</v>
      </c>
      <c r="B11" s="522" t="e">
        <f>VLOOKUP(L11,'Spec Sheet (2)'!$A$4:$GD$26703,186,0)</f>
        <v>#N/A</v>
      </c>
      <c r="C11" s="523"/>
      <c r="D11" s="524"/>
      <c r="E11" s="525"/>
      <c r="F11" s="526" t="e">
        <f>VLOOKUP(L11,'Spec Sheet (2)'!$A$4:$S$9,19,0)</f>
        <v>#N/A</v>
      </c>
      <c r="G11" s="527" t="e">
        <f>VLOOKUP(L11,'Spec Sheet (2)'!$A$4:$B$739,2,0)</f>
        <v>#N/A</v>
      </c>
      <c r="H11" s="607" t="e">
        <f>VLOOKUP(K11,'ORDER BOOK'!$I$3:$W$18,15,0)</f>
        <v>#N/A</v>
      </c>
      <c r="I11" s="528"/>
      <c r="J11" s="528" t="e">
        <f>VLOOKUP(L11,'Spec Sheet (2)'!$A$4:$CV$26703,100,0)</f>
        <v>#N/A</v>
      </c>
      <c r="K11" s="578"/>
      <c r="L11" s="171"/>
      <c r="M11" s="287" t="e">
        <f>VLOOKUP(K11,'ORDER BOOK'!$I$3:$K$18,3,0)</f>
        <v>#N/A</v>
      </c>
      <c r="N11" s="530"/>
      <c r="O11" s="531" t="str">
        <f t="shared" si="1"/>
        <v>BAL</v>
      </c>
      <c r="P11" s="350">
        <f t="shared" si="2"/>
        <v>0</v>
      </c>
      <c r="Q11" s="532">
        <v>1</v>
      </c>
      <c r="R11" s="596"/>
      <c r="S11" s="533" t="s">
        <v>113</v>
      </c>
      <c r="T11" s="534" t="e">
        <f t="shared" si="3"/>
        <v>#N/A</v>
      </c>
      <c r="U11" s="535" t="e">
        <f t="shared" si="4"/>
        <v>#N/A</v>
      </c>
      <c r="V11" s="536" t="e">
        <f t="shared" si="5"/>
        <v>#N/A</v>
      </c>
      <c r="W11" s="537" t="str">
        <f t="shared" si="6"/>
        <v>KG</v>
      </c>
      <c r="X11" s="538">
        <v>0</v>
      </c>
      <c r="Y11" s="539" t="e">
        <f t="shared" si="7"/>
        <v>#N/A</v>
      </c>
      <c r="Z11" s="540" t="e">
        <f t="shared" si="8"/>
        <v>#N/A</v>
      </c>
      <c r="AA11" s="533" t="str">
        <f t="shared" si="9"/>
        <v>KG</v>
      </c>
      <c r="AB11" s="541" t="e">
        <f t="shared" si="10"/>
        <v>#N/A</v>
      </c>
      <c r="AC11" s="542" t="e">
        <f t="shared" si="11"/>
        <v>#N/A</v>
      </c>
      <c r="AD11" s="542" t="e">
        <f t="shared" si="12"/>
        <v>#N/A</v>
      </c>
      <c r="AE11" s="543" t="e">
        <f>VLOOKUP(L11,'Spec Sheet (2)'!$A$4:$BE$9,57,0)/1000</f>
        <v>#N/A</v>
      </c>
      <c r="AF11" s="544" t="e">
        <f t="shared" si="13"/>
        <v>#N/A</v>
      </c>
      <c r="AG11" s="544" t="e">
        <f t="shared" si="14"/>
        <v>#N/A</v>
      </c>
      <c r="AH11" s="544" t="e">
        <f t="shared" si="15"/>
        <v>#N/A</v>
      </c>
      <c r="AI11" s="545">
        <v>0</v>
      </c>
      <c r="AJ11" s="546">
        <f t="shared" si="16"/>
        <v>0</v>
      </c>
      <c r="AK11" s="546" t="e">
        <f>VLOOKUP(L11,'Spec Sheet (2)'!$A$4:$FG$15742,163,0)</f>
        <v>#N/A</v>
      </c>
      <c r="AL11" s="547" t="e">
        <f t="shared" si="17"/>
        <v>#N/A</v>
      </c>
      <c r="AM11" s="545">
        <v>0</v>
      </c>
      <c r="AN11" s="545">
        <v>0</v>
      </c>
      <c r="AO11" s="548">
        <f t="shared" si="18"/>
        <v>0</v>
      </c>
      <c r="AP11" s="548" t="e">
        <f>VLOOKUP(L11,'Spec Sheet (2)'!$A$4:$FH$9,164,0)</f>
        <v>#N/A</v>
      </c>
      <c r="AQ11" s="549" t="e">
        <f t="shared" si="19"/>
        <v>#N/A</v>
      </c>
      <c r="AR11" s="545">
        <v>0</v>
      </c>
      <c r="AS11" s="545">
        <v>0</v>
      </c>
      <c r="AT11" s="550">
        <f t="shared" si="20"/>
        <v>0</v>
      </c>
      <c r="AU11" s="550" t="e">
        <f>VLOOKUP(L11,'Spec Sheet (2)'!$A$4:$FI$9,165,0)</f>
        <v>#N/A</v>
      </c>
      <c r="AV11" s="551" t="e">
        <f t="shared" si="21"/>
        <v>#N/A</v>
      </c>
      <c r="AW11" s="545">
        <v>0</v>
      </c>
      <c r="AX11" s="545">
        <v>0</v>
      </c>
      <c r="AY11" s="551">
        <f t="shared" si="22"/>
        <v>0</v>
      </c>
      <c r="AZ11" s="551" t="e">
        <f>VLOOKUP(L11,'Spec Sheet (2)'!$A$4:$FJ$16684,166,0)</f>
        <v>#N/A</v>
      </c>
      <c r="BA11" s="552" t="e">
        <f t="shared" si="23"/>
        <v>#N/A</v>
      </c>
      <c r="BB11" s="553" t="e">
        <f>VLOOKUP(L11,'Spec Sheet (2)'!$A$4:$AL$3749,38,0)</f>
        <v>#N/A</v>
      </c>
      <c r="BC11" s="554" t="e">
        <f>VLOOKUP(L11,'Spec Sheet (2)'!$A$4:$O$26703,15,0)</f>
        <v>#N/A</v>
      </c>
      <c r="BD11" s="555" t="e">
        <f>VLOOKUP(L11,'Spec Sheet (2)'!$A$4:$L$26703,11,0)</f>
        <v>#N/A</v>
      </c>
      <c r="BE11" s="556" t="e">
        <f>VLOOKUP(L11,'Spec Sheet (2)'!$A$4:$J$26703,9,0)/1000</f>
        <v>#N/A</v>
      </c>
      <c r="BF11" s="557" t="e">
        <f>AB11*BE11*BD11*VLOOKUP(L11,'Spec Sheet (2)'!$A$4:$L$25803,12,0)</f>
        <v>#N/A</v>
      </c>
      <c r="BG11" s="558" t="str">
        <f>IF(ISNA(VLOOKUP(BB11,'ALL STOCK'!$C$3:$N$990,12,0)),"-",VLOOKUP(BB11,'ALL STOCK'!$C$3:$N$990,12,0))</f>
        <v>-</v>
      </c>
      <c r="BH11" s="558" t="str">
        <f>IF(ISNA(VLOOKUP(BB11,'ALL STOCK'!$C$3:$J$990,8,0)),"-",VLOOKUP(BB11,'ALL STOCK'!$C$3:$J$990,8,0))</f>
        <v>-</v>
      </c>
      <c r="BI11" s="559"/>
      <c r="BJ11" s="560" t="e">
        <f>VLOOKUP(L11,'Spec Sheet (2)'!$A$4:$AM$9,39,0)</f>
        <v>#N/A</v>
      </c>
      <c r="BK11" s="554" t="e">
        <f>VLOOKUP(L11,'Spec Sheet (2)'!$A$4:$Z$26703,26,0)</f>
        <v>#N/A</v>
      </c>
      <c r="BL11" s="555" t="e">
        <f>VLOOKUP(L11,'Spec Sheet (2)'!$A$4:$V$9,22,0)</f>
        <v>#N/A</v>
      </c>
      <c r="BM11" s="556" t="e">
        <f>VLOOKUP(L11,'Spec Sheet (2)'!$A$4:$T$26703,20,0)/1000</f>
        <v>#N/A</v>
      </c>
      <c r="BN11" s="561" t="e">
        <f t="shared" si="24"/>
        <v>#N/A</v>
      </c>
      <c r="BO11" s="562" t="str">
        <f>IF(ISNA(VLOOKUP(BJ11,'ALL STOCK'!$C$4:$N$990,12,0)),"-",VLOOKUP(BJ11,'ALL STOCK'!$C$4:$N$990,12,0))</f>
        <v>-</v>
      </c>
      <c r="BP11" s="562" t="str">
        <f>IF(ISNA(VLOOKUP(BJ11,'ALL STOCK'!$C$4:$J$990,8,0)),"-",VLOOKUP(BJ11,'ALL STOCK'!$C$4:$J$990,8,0))</f>
        <v>-</v>
      </c>
      <c r="BQ11" s="563"/>
      <c r="BR11" s="564" t="e">
        <f>VLOOKUP(L11,'Spec Sheet (2)'!$A$4:$AN$9,40,0)</f>
        <v>#N/A</v>
      </c>
      <c r="BS11" s="565" t="e">
        <f>VLOOKUP(L11,'Spec Sheet (2)'!$A$4:$FD$9,160,0)</f>
        <v>#N/A</v>
      </c>
      <c r="BT11" s="554" t="e">
        <f>VLOOKUP(L11,'Spec Sheet (2)'!$A$4:$AK$26703,37,0)</f>
        <v>#N/A</v>
      </c>
      <c r="BU11" s="555" t="e">
        <f>VLOOKUP(L11,'Spec Sheet (2)'!$A$4:$AG$26703,33,0)</f>
        <v>#N/A</v>
      </c>
      <c r="BV11" s="556" t="e">
        <f>VLOOKUP(L11,'Spec Sheet (2)'!$A$4:$AE$26703,31,0)/1000</f>
        <v>#N/A</v>
      </c>
      <c r="BW11" s="566" t="e">
        <f t="shared" si="25"/>
        <v>#N/A</v>
      </c>
      <c r="BX11" s="567" t="str">
        <f>IF(ISNA(VLOOKUP(BR11,'ALL STOCK'!$C$3:$N$990,12,0)),"-",VLOOKUP(BR11,'ALL STOCK'!$C$3:$N$990,12,0))</f>
        <v>-</v>
      </c>
      <c r="BY11" s="567" t="str">
        <f>IF(ISNA(VLOOKUP(BR11,'ALL STOCK'!$C$4:$J$990,8,)),"-",VLOOKUP(BR11,'ALL STOCK'!$C$4:$J$990,8,))</f>
        <v>-</v>
      </c>
      <c r="BZ11" s="568" t="e">
        <f>VLOOKUP(L11,'Spec Sheet (2)'!$A$4:$B$25803,2,0)</f>
        <v>#N/A</v>
      </c>
      <c r="CA11" s="569" t="e">
        <f>VLOOKUP(L11,'Spec Sheet (2)'!$A$4:$FO$25803,171,0)</f>
        <v>#N/A</v>
      </c>
      <c r="CB11" s="559" t="e">
        <f>VLOOKUP(L11,'Spec Sheet (2)'!$A$4:$FF$9,161,0)</f>
        <v>#N/A</v>
      </c>
      <c r="CC11" s="570" t="e">
        <f>VLOOKUP(L11,'Spec Sheet (2)'!$A$4:$M$25803,13,0)</f>
        <v>#N/A</v>
      </c>
      <c r="CD11" s="570" t="e">
        <f>VLOOKUP(L11,'Spec Sheet (2)'!$A$4:$X$26703,24,0)</f>
        <v>#N/A</v>
      </c>
      <c r="CE11" s="571" t="e">
        <f>VLOOKUP(L11,'Spec Sheet (2)'!$A$4:$AI$25803,35,0)</f>
        <v>#N/A</v>
      </c>
      <c r="CF11" s="572" t="e">
        <f>VLOOKUP(L11,'Spec Sheet (2)'!$A$4:$BF$26703,58,0)</f>
        <v>#N/A</v>
      </c>
      <c r="CG11" s="572" t="e">
        <f>VLOOKUP(L11,'Spec Sheet (2)'!$A$4:$FN$25803,169,0)</f>
        <v>#N/A</v>
      </c>
      <c r="CH11" s="572" t="e">
        <f>VLOOKUP(L11,'Spec Sheet (2)'!$A$4:$FN$25803,170,0)</f>
        <v>#N/A</v>
      </c>
      <c r="CI11" s="572" t="e">
        <f>VLOOKUP(L11,'Spec Sheet (2)'!$A$4:$CX$26703,102,0)</f>
        <v>#N/A</v>
      </c>
      <c r="CJ11" s="573" t="e">
        <f>VLOOKUP(L11,'Spec Sheet (2)'!$A$4:$DC$26703,107,0)</f>
        <v>#N/A</v>
      </c>
      <c r="CK11" s="570" t="e">
        <f t="shared" si="26"/>
        <v>#N/A</v>
      </c>
      <c r="CL11" s="574" t="e">
        <f>VLOOKUP(L11,'Spec Sheet (2)'!$A$4:$FL$26703,168,0)</f>
        <v>#N/A</v>
      </c>
      <c r="CM11" s="574" t="e">
        <f>VLOOKUP(L11,'Spec Sheet (2)'!$A$4:$I$26703,9,0)</f>
        <v>#N/A</v>
      </c>
      <c r="CN11" s="574" t="e">
        <f>VLOOKUP(L11,'Spec Sheet (2)'!$A$4:$FP$26703,172,0)</f>
        <v>#N/A</v>
      </c>
      <c r="CO11" s="575" t="e">
        <f>VLOOKUP(L11,'Spec Sheet (2)'!$A$4:$D$26703,4,0)</f>
        <v>#N/A</v>
      </c>
      <c r="CP11" s="368"/>
      <c r="CQ11" s="576" t="e">
        <f t="shared" si="27"/>
        <v>#N/A</v>
      </c>
      <c r="CR11" s="520"/>
      <c r="CS11" s="520"/>
      <c r="CT11" s="577"/>
      <c r="CU11" s="520"/>
    </row>
  </sheetData>
  <autoFilter ref="A3:DF11" xr:uid="{00000000-0009-0000-0000-000003000000}"/>
  <sortState xmlns:xlrd2="http://schemas.microsoft.com/office/spreadsheetml/2017/richdata2" ref="A4:DF11">
    <sortCondition descending="1" sortBy="cellColor" ref="CP4:CP11" dxfId="273"/>
  </sortState>
  <conditionalFormatting sqref="A3">
    <cfRule type="duplicateValues" dxfId="213" priority="147983"/>
  </conditionalFormatting>
  <conditionalFormatting sqref="B4:B11">
    <cfRule type="containsText" dxfId="212" priority="419" stopIfTrue="1" operator="containsText" text="Clear for Print">
      <formula>NOT(ISERROR(SEARCH("Clear for Print",B4)))</formula>
    </cfRule>
    <cfRule type="containsText" dxfId="211" priority="420" stopIfTrue="1" operator="containsText" text="Clear for Ptg">
      <formula>NOT(ISERROR(SEARCH("Clear for Ptg",B4)))</formula>
    </cfRule>
  </conditionalFormatting>
  <conditionalFormatting sqref="H4:H11">
    <cfRule type="containsText" dxfId="210" priority="418" stopIfTrue="1" operator="containsText" text="NEW">
      <formula>NOT(ISERROR(SEARCH("NEW",H4)))</formula>
    </cfRule>
  </conditionalFormatting>
  <conditionalFormatting sqref="J1:J3">
    <cfRule type="duplicateValues" dxfId="209" priority="2262090"/>
  </conditionalFormatting>
  <conditionalFormatting sqref="K1:K3 M1:M3">
    <cfRule type="duplicateValues" dxfId="208" priority="3224990"/>
  </conditionalFormatting>
  <conditionalFormatting sqref="K1:K3">
    <cfRule type="duplicateValues" dxfId="207" priority="3224992"/>
  </conditionalFormatting>
  <conditionalFormatting sqref="K1:K1048576">
    <cfRule type="duplicateValues" dxfId="206" priority="3225037"/>
    <cfRule type="duplicateValues" dxfId="205" priority="3225034"/>
    <cfRule type="duplicateValues" dxfId="204" priority="3225027"/>
    <cfRule type="duplicateValues" dxfId="203" priority="3225025"/>
    <cfRule type="duplicateValues" dxfId="202" priority="3225022"/>
    <cfRule type="duplicateValues" dxfId="201" priority="3225019"/>
    <cfRule type="duplicateValues" dxfId="200" priority="3225016"/>
    <cfRule type="duplicateValues" dxfId="199" priority="3225026"/>
    <cfRule type="duplicateValues" dxfId="198" priority="3187475"/>
    <cfRule type="duplicateValues" dxfId="197" priority="3187476"/>
  </conditionalFormatting>
  <conditionalFormatting sqref="K4:K11">
    <cfRule type="duplicateValues" dxfId="196" priority="3225009"/>
  </conditionalFormatting>
  <conditionalFormatting sqref="K12:K1048576 K1:K3">
    <cfRule type="duplicateValues" dxfId="195" priority="3224851"/>
    <cfRule type="duplicateValues" dxfId="194" priority="3224834"/>
    <cfRule type="duplicateValues" dxfId="193" priority="3224840"/>
  </conditionalFormatting>
  <conditionalFormatting sqref="K12:K1048576">
    <cfRule type="duplicateValues" dxfId="192" priority="3224837"/>
    <cfRule type="duplicateValues" dxfId="191" priority="3224844"/>
    <cfRule type="duplicateValues" dxfId="190" priority="3224848"/>
    <cfRule type="duplicateValues" dxfId="189" priority="3224950"/>
    <cfRule type="duplicateValues" dxfId="188" priority="3224951"/>
    <cfRule type="duplicateValues" dxfId="187" priority="3224952"/>
  </conditionalFormatting>
  <conditionalFormatting sqref="K569:K1048576 K1:K3">
    <cfRule type="duplicateValues" dxfId="186" priority="1849095"/>
  </conditionalFormatting>
  <conditionalFormatting sqref="K1073:K1048576 K1:K3">
    <cfRule type="duplicateValues" dxfId="185" priority="1796581"/>
  </conditionalFormatting>
  <conditionalFormatting sqref="K1399:K1048576 K1:K3">
    <cfRule type="duplicateValues" dxfId="184" priority="1796590"/>
  </conditionalFormatting>
  <conditionalFormatting sqref="K1934:K1048576 K1:K3">
    <cfRule type="duplicateValues" dxfId="183" priority="1796586"/>
  </conditionalFormatting>
  <conditionalFormatting sqref="K2833:K1048576 K1:K3">
    <cfRule type="duplicateValues" dxfId="182" priority="1589271"/>
  </conditionalFormatting>
  <conditionalFormatting sqref="K2833:K1048576">
    <cfRule type="duplicateValues" dxfId="181" priority="1589316"/>
  </conditionalFormatting>
  <conditionalFormatting sqref="K3166:K1048576 K1:K3">
    <cfRule type="duplicateValues" dxfId="180" priority="1556912"/>
  </conditionalFormatting>
  <conditionalFormatting sqref="M1:M3 K1:K3">
    <cfRule type="duplicateValues" dxfId="179" priority="3225005"/>
  </conditionalFormatting>
  <conditionalFormatting sqref="M1:M3">
    <cfRule type="duplicateValues" dxfId="178" priority="3225007"/>
  </conditionalFormatting>
  <conditionalFormatting sqref="M2:M3">
    <cfRule type="duplicateValues" dxfId="177" priority="3225008"/>
  </conditionalFormatting>
  <conditionalFormatting sqref="M4:M11">
    <cfRule type="duplicateValues" dxfId="176" priority="3225040"/>
  </conditionalFormatting>
  <conditionalFormatting sqref="N3">
    <cfRule type="duplicateValues" dxfId="175" priority="149783"/>
  </conditionalFormatting>
  <conditionalFormatting sqref="BC1 M1 O1 Q1:R1 T1 AA1 AH1 AO1 AV1 BJ1 BQ1 BX1 CE1 CL1 V1 AC1 AJ1 AQ1 AX1 BE1 BL1 BS1 BZ1 CG1 X1:Y1 AE1:AF1 AL1:AM1 AS1:AT1 AZ1:BA1 BG1:BH1 BN1:BO1 BU1:BV1 CB1:CC1 CI1:CJ1 CN1 CV1 CX1 CZ1 DB1 DD1 DF1 CP1 CR1 CT1">
    <cfRule type="duplicateValues" dxfId="174" priority="2739629"/>
    <cfRule type="duplicateValues" dxfId="173" priority="2739628"/>
    <cfRule type="duplicateValues" dxfId="172" priority="2739627"/>
  </conditionalFormatting>
  <conditionalFormatting sqref="BC1">
    <cfRule type="duplicateValues" dxfId="171" priority="211635"/>
  </conditionalFormatting>
  <conditionalFormatting sqref="CP4:CP11">
    <cfRule type="duplicateValues" dxfId="170" priority="3225041"/>
  </conditionalFormatting>
  <pageMargins left="0" right="0" top="7.874015748031496E-2" bottom="7.874015748031496E-2" header="0.31496062992125984" footer="0.31496062992125984"/>
  <pageSetup paperSize="9" scale="1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AB34-1AB2-4F6C-89B0-4A64E384E8B5}">
  <sheetPr codeName="Sheet4">
    <tabColor theme="3" tint="0.39997558519241921"/>
    <pageSetUpPr fitToPage="1"/>
  </sheetPr>
  <dimension ref="A1:W12"/>
  <sheetViews>
    <sheetView zoomScaleNormal="100" workbookViewId="0">
      <pane xSplit="4" ySplit="3" topLeftCell="G4" activePane="bottomRight" state="frozen"/>
      <selection activeCell="L44" sqref="L44"/>
      <selection pane="topRight" activeCell="L44" sqref="L44"/>
      <selection pane="bottomLeft" activeCell="L44" sqref="L44"/>
      <selection pane="bottomRight" activeCell="A2" sqref="A2:B2"/>
    </sheetView>
  </sheetViews>
  <sheetFormatPr defaultColWidth="9.140625" defaultRowHeight="15.75"/>
  <cols>
    <col min="1" max="1" width="7" style="141" customWidth="1"/>
    <col min="2" max="2" width="8.7109375" style="615" customWidth="1"/>
    <col min="3" max="3" width="50.28515625" style="652" customWidth="1"/>
    <col min="4" max="5" width="9.85546875" style="279" customWidth="1"/>
    <col min="6" max="6" width="11" style="280" customWidth="1"/>
    <col min="7" max="7" width="7" style="141" customWidth="1"/>
    <col min="8" max="8" width="12.7109375" style="141" customWidth="1"/>
    <col min="9" max="9" width="28.85546875" style="663" customWidth="1"/>
    <col min="10" max="10" width="10.5703125" style="660" customWidth="1"/>
    <col min="11" max="11" width="12" style="660" customWidth="1"/>
    <col min="12" max="12" width="7.28515625" style="653" customWidth="1"/>
    <col min="13" max="13" width="5.42578125" style="141" customWidth="1"/>
    <col min="14" max="14" width="4.28515625" style="280" customWidth="1"/>
    <col min="15" max="15" width="7.42578125" style="280" customWidth="1"/>
    <col min="16" max="16" width="8.140625" style="141" customWidth="1"/>
    <col min="17" max="17" width="13.7109375" style="654" customWidth="1"/>
    <col min="18" max="18" width="13.85546875" style="655" customWidth="1"/>
    <col min="19" max="19" width="7.42578125" style="656" customWidth="1"/>
    <col min="20" max="20" width="17.85546875" style="616" customWidth="1"/>
    <col min="21" max="21" width="17.5703125" style="616" customWidth="1"/>
    <col min="22" max="16384" width="9.140625" style="280"/>
  </cols>
  <sheetData>
    <row r="1" spans="1:23" ht="41.25" customHeight="1" thickBot="1">
      <c r="A1" s="50">
        <v>0</v>
      </c>
      <c r="B1" s="611">
        <v>277</v>
      </c>
      <c r="C1" s="756" t="s">
        <v>311</v>
      </c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7"/>
      <c r="O1" s="758" t="s">
        <v>562</v>
      </c>
      <c r="P1" s="759"/>
      <c r="Q1" s="759"/>
      <c r="R1" s="759"/>
      <c r="S1" s="759"/>
    </row>
    <row r="2" spans="1:23" ht="20.25" customHeight="1" thickBot="1">
      <c r="A2" s="762">
        <f ca="1">TODAY()</f>
        <v>46146</v>
      </c>
      <c r="B2" s="762"/>
      <c r="C2" s="763" t="s">
        <v>312</v>
      </c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4"/>
      <c r="O2" s="760"/>
      <c r="P2" s="761"/>
      <c r="Q2" s="761"/>
      <c r="R2" s="761"/>
      <c r="S2" s="761"/>
      <c r="T2" s="366"/>
      <c r="U2" s="618"/>
    </row>
    <row r="3" spans="1:23" s="605" customFormat="1" ht="51.75" thickBot="1">
      <c r="A3" s="95" t="s">
        <v>431</v>
      </c>
      <c r="B3" s="619" t="s">
        <v>259</v>
      </c>
      <c r="C3" s="97" t="s">
        <v>1</v>
      </c>
      <c r="D3" s="43" t="s">
        <v>223</v>
      </c>
      <c r="E3" s="43" t="s">
        <v>506</v>
      </c>
      <c r="F3" s="43" t="s">
        <v>222</v>
      </c>
      <c r="G3" s="97" t="s">
        <v>262</v>
      </c>
      <c r="H3" s="97" t="s">
        <v>248</v>
      </c>
      <c r="I3" s="97" t="s">
        <v>229</v>
      </c>
      <c r="J3" s="620" t="s">
        <v>240</v>
      </c>
      <c r="K3" s="97" t="s">
        <v>241</v>
      </c>
      <c r="L3" s="97" t="s">
        <v>124</v>
      </c>
      <c r="M3" s="43" t="s">
        <v>219</v>
      </c>
      <c r="N3" s="43" t="s">
        <v>221</v>
      </c>
      <c r="O3" s="43" t="s">
        <v>220</v>
      </c>
      <c r="P3" s="98" t="s">
        <v>152</v>
      </c>
      <c r="Q3" s="99" t="s">
        <v>316</v>
      </c>
      <c r="R3" s="100" t="s">
        <v>323</v>
      </c>
      <c r="S3" s="621" t="s">
        <v>77</v>
      </c>
      <c r="T3" s="621" t="s">
        <v>297</v>
      </c>
      <c r="U3" s="286" t="s">
        <v>298</v>
      </c>
    </row>
    <row r="4" spans="1:23">
      <c r="A4" s="161" t="s">
        <v>206</v>
      </c>
      <c r="B4" s="612"/>
      <c r="C4" s="622"/>
      <c r="D4" s="623"/>
      <c r="E4" s="623"/>
      <c r="F4" s="624"/>
      <c r="G4" s="625"/>
      <c r="H4" s="625"/>
      <c r="I4" s="661"/>
      <c r="J4" s="162"/>
      <c r="K4" s="162"/>
      <c r="L4" s="626"/>
      <c r="M4" s="625"/>
      <c r="N4" s="625"/>
      <c r="O4" s="163"/>
      <c r="P4" s="627"/>
      <c r="Q4" s="628"/>
      <c r="R4" s="629"/>
      <c r="S4" s="629"/>
      <c r="T4" s="630"/>
      <c r="U4" s="630"/>
    </row>
    <row r="5" spans="1:23">
      <c r="A5" s="96"/>
      <c r="B5" s="613"/>
      <c r="C5" s="631"/>
      <c r="D5" s="632"/>
      <c r="E5" s="632"/>
      <c r="F5" s="633"/>
      <c r="G5" s="632"/>
      <c r="H5" s="634"/>
      <c r="I5" s="662"/>
      <c r="J5" s="657"/>
      <c r="K5" s="658"/>
      <c r="L5" s="635"/>
      <c r="M5" s="636"/>
      <c r="N5" s="637"/>
      <c r="O5" s="638"/>
      <c r="P5" s="639"/>
      <c r="Q5" s="640"/>
      <c r="R5" s="640"/>
      <c r="S5" s="641"/>
      <c r="T5" s="642"/>
      <c r="U5" s="642"/>
    </row>
    <row r="6" spans="1:23" ht="28.5" customHeight="1">
      <c r="A6" s="693" t="s">
        <v>413</v>
      </c>
      <c r="B6" s="694" t="s">
        <v>994</v>
      </c>
      <c r="C6" s="695" t="s">
        <v>1006</v>
      </c>
      <c r="D6" s="643" t="str">
        <f>VLOOKUP(B6,'ORDER BOOK'!$I$3:$K$18,3,0)</f>
        <v>C-1</v>
      </c>
      <c r="E6" s="644"/>
      <c r="F6" s="645"/>
      <c r="G6" s="646">
        <f>VLOOKUP(C6,'Spec Sheet (2)'!$A$4:$B$20737,2,0)</f>
        <v>1005</v>
      </c>
      <c r="H6" s="645"/>
      <c r="I6" s="401" t="str">
        <f>VLOOKUP(C6,'Spec Sheet (2)'!$A$4:$O$26649,15,0)</f>
        <v>1125mmX12Mic PET Chemical</v>
      </c>
      <c r="J6" s="659">
        <f>VLOOKUP(B6,'PENDING ORDER'!$K$4:$Z$2510,16,0)</f>
        <v>0</v>
      </c>
      <c r="K6" s="41">
        <f>VLOOKUP(B6,'PENDING ORDER'!$K$2:$AB$2510,18,0)</f>
        <v>0</v>
      </c>
      <c r="L6" s="647" t="str">
        <f>VLOOKUP(C6,'Spec Sheet (2)'!$A$4:$FO$26829,171,0)</f>
        <v>4PLY</v>
      </c>
      <c r="M6" s="648">
        <v>1</v>
      </c>
      <c r="N6" s="643">
        <v>375</v>
      </c>
      <c r="O6" s="25">
        <f t="shared" ref="O6" si="0">(K6*1000/N6/60)+M6</f>
        <v>1</v>
      </c>
      <c r="P6" s="25">
        <f>VLOOKUP(B6,'ORDER BOOK'!$I$3:$Q$18,9,0)/1000</f>
        <v>1</v>
      </c>
      <c r="Q6" s="649">
        <f>VLOOKUP(B6,'ORDER BOOK'!$I$3:$W$18,15,0)</f>
        <v>46141</v>
      </c>
      <c r="R6" s="650">
        <f>VLOOKUP(B6,'ORDER BOOK'!$I$3:$Z$18,16,0)</f>
        <v>46157</v>
      </c>
      <c r="S6" s="651" t="s">
        <v>415</v>
      </c>
      <c r="T6" s="617">
        <v>46142.291666666664</v>
      </c>
      <c r="U6" s="664">
        <f t="shared" ref="U6:U7" si="1">T6+O6/24</f>
        <v>46142.333333333328</v>
      </c>
      <c r="V6" s="26"/>
      <c r="W6" s="26"/>
    </row>
    <row r="7" spans="1:23" ht="28.5" customHeight="1">
      <c r="A7" s="693" t="s">
        <v>413</v>
      </c>
      <c r="B7" s="694" t="s">
        <v>995</v>
      </c>
      <c r="C7" s="695" t="s">
        <v>1007</v>
      </c>
      <c r="D7" s="643" t="str">
        <f>VLOOKUP(B7,'ORDER BOOK'!$I$3:$K$18,3,0)</f>
        <v>C-2</v>
      </c>
      <c r="E7" s="644"/>
      <c r="F7" s="645"/>
      <c r="G7" s="646">
        <f>VLOOKUP(C7,'Spec Sheet (2)'!$A$4:$B$20737,2,0)</f>
        <v>1006</v>
      </c>
      <c r="H7" s="645"/>
      <c r="I7" s="401" t="str">
        <f>VLOOKUP(C7,'Spec Sheet (2)'!$A$4:$O$26649,15,0)</f>
        <v>985mmX105Mic PE (White)</v>
      </c>
      <c r="J7" s="659">
        <f>VLOOKUP(B7,'PENDING ORDER'!$K$4:$Z$2510,16,0)</f>
        <v>1000</v>
      </c>
      <c r="K7" s="41">
        <f>VLOOKUP(B7,'PENDING ORDER'!$K$2:$AB$2510,18,0)</f>
        <v>10.126966846842285</v>
      </c>
      <c r="L7" s="647" t="str">
        <f>VLOOKUP(C7,'Spec Sheet (2)'!$A$4:$FO$26829,171,0)</f>
        <v>1PLY</v>
      </c>
      <c r="M7" s="648">
        <v>3</v>
      </c>
      <c r="N7" s="643">
        <v>375</v>
      </c>
      <c r="O7" s="25">
        <f t="shared" ref="O7" si="2">(K7*1000/N7/60)+M7</f>
        <v>3.4500874154152128</v>
      </c>
      <c r="P7" s="25">
        <f>VLOOKUP(B7,'ORDER BOOK'!$I$3:$Q$18,9,0)/1000</f>
        <v>1</v>
      </c>
      <c r="Q7" s="649">
        <f>VLOOKUP(B7,'ORDER BOOK'!$I$3:$W$18,15,0)</f>
        <v>46141</v>
      </c>
      <c r="R7" s="650">
        <f>VLOOKUP(B7,'ORDER BOOK'!$I$3:$Z$18,16,0)</f>
        <v>46157</v>
      </c>
      <c r="S7" s="651" t="s">
        <v>552</v>
      </c>
      <c r="T7" s="403">
        <f>U6</f>
        <v>46142.333333333328</v>
      </c>
      <c r="U7" s="664">
        <f t="shared" si="1"/>
        <v>46142.477086975639</v>
      </c>
      <c r="V7" s="26"/>
      <c r="W7" s="26"/>
    </row>
    <row r="8" spans="1:23" ht="28.5" customHeight="1">
      <c r="A8" s="693" t="s">
        <v>413</v>
      </c>
      <c r="B8" s="694" t="s">
        <v>996</v>
      </c>
      <c r="C8" s="695" t="s">
        <v>1008</v>
      </c>
      <c r="D8" s="643" t="str">
        <f>VLOOKUP(B8,'ORDER BOOK'!$I$3:$K$18,3,0)</f>
        <v>C-3</v>
      </c>
      <c r="E8" s="644"/>
      <c r="F8" s="645"/>
      <c r="G8" s="646">
        <f>VLOOKUP(C8,'Spec Sheet (2)'!$A$4:$B$20737,2,0)</f>
        <v>1007</v>
      </c>
      <c r="H8" s="645"/>
      <c r="I8" s="401" t="str">
        <f>VLOOKUP(C8,'Spec Sheet (2)'!$A$4:$O$26649,15,0)</f>
        <v>949mmX12Mic BOPP BST</v>
      </c>
      <c r="J8" s="659">
        <f>VLOOKUP(B8,'PENDING ORDER'!$K$4:$Z$2510,16,0)</f>
        <v>344.16666666666669</v>
      </c>
      <c r="K8" s="41">
        <f>VLOOKUP(B8,'PENDING ORDER'!$K$2:$AB$2510,18,0)</f>
        <v>30.73410607657183</v>
      </c>
      <c r="L8" s="647" t="str">
        <f>VLOOKUP(C8,'Spec Sheet (2)'!$A$4:$FO$26829,171,0)</f>
        <v>3PLY</v>
      </c>
      <c r="M8" s="648">
        <v>3</v>
      </c>
      <c r="N8" s="643">
        <v>375</v>
      </c>
      <c r="O8" s="25">
        <f t="shared" ref="O8:O11" si="3">(K8*1000/N8/60)+M8</f>
        <v>4.3659602700698592</v>
      </c>
      <c r="P8" s="25">
        <f>VLOOKUP(B8,'ORDER BOOK'!$I$3:$Q$18,9,0)/1000</f>
        <v>1</v>
      </c>
      <c r="Q8" s="649">
        <f>VLOOKUP(B8,'ORDER BOOK'!$I$3:$W$18,15,0)</f>
        <v>46141</v>
      </c>
      <c r="R8" s="650">
        <f>VLOOKUP(B8,'ORDER BOOK'!$I$3:$Z$18,16,0)</f>
        <v>46157</v>
      </c>
      <c r="S8" s="651" t="s">
        <v>552</v>
      </c>
      <c r="T8" s="403">
        <f t="shared" ref="T8:T12" si="4">U7</f>
        <v>46142.477086975639</v>
      </c>
      <c r="U8" s="664">
        <f t="shared" ref="U8:U12" si="5">T8+O8/24</f>
        <v>46142.659001986889</v>
      </c>
      <c r="V8" s="26"/>
      <c r="W8" s="26"/>
    </row>
    <row r="9" spans="1:23" ht="28.5" customHeight="1">
      <c r="A9" s="693" t="s">
        <v>413</v>
      </c>
      <c r="B9" s="694" t="s">
        <v>997</v>
      </c>
      <c r="C9" s="695" t="s">
        <v>1009</v>
      </c>
      <c r="D9" s="643" t="str">
        <f>VLOOKUP(B9,'ORDER BOOK'!$I$3:$K$18,3,0)</f>
        <v>C-4</v>
      </c>
      <c r="E9" s="644"/>
      <c r="F9" s="645"/>
      <c r="G9" s="646">
        <f>VLOOKUP(C9,'Spec Sheet (2)'!$A$4:$B$20737,2,0)</f>
        <v>1008</v>
      </c>
      <c r="H9" s="645"/>
      <c r="I9" s="401" t="str">
        <f>VLOOKUP(C9,'Spec Sheet (2)'!$A$4:$O$26649,15,0)</f>
        <v>1215mmX8Mic PET Chemical</v>
      </c>
      <c r="J9" s="659">
        <f>VLOOKUP(B9,'PENDING ORDER'!$K$4:$Z$2510,16,0)</f>
        <v>256.29921259842513</v>
      </c>
      <c r="K9" s="41">
        <f>VLOOKUP(B9,'PENDING ORDER'!$K$2:$AB$2510,18,0)</f>
        <v>17.011762418586564</v>
      </c>
      <c r="L9" s="647" t="str">
        <f>VLOOKUP(C9,'Spec Sheet (2)'!$A$4:$FO$26829,171,0)</f>
        <v>3ply</v>
      </c>
      <c r="M9" s="648">
        <v>3</v>
      </c>
      <c r="N9" s="643">
        <v>375</v>
      </c>
      <c r="O9" s="25">
        <f t="shared" si="3"/>
        <v>3.7560783297149585</v>
      </c>
      <c r="P9" s="25">
        <f>VLOOKUP(B9,'ORDER BOOK'!$I$3:$Q$18,9,0)/1000</f>
        <v>1</v>
      </c>
      <c r="Q9" s="649">
        <f>VLOOKUP(B9,'ORDER BOOK'!$I$3:$W$18,15,0)</f>
        <v>46141</v>
      </c>
      <c r="R9" s="650">
        <f>VLOOKUP(B9,'ORDER BOOK'!$I$3:$Z$18,16,0)</f>
        <v>46157</v>
      </c>
      <c r="S9" s="651" t="s">
        <v>552</v>
      </c>
      <c r="T9" s="403">
        <f t="shared" si="4"/>
        <v>46142.659001986889</v>
      </c>
      <c r="U9" s="664">
        <f t="shared" si="5"/>
        <v>46142.815505250626</v>
      </c>
      <c r="V9" s="26"/>
      <c r="W9" s="26"/>
    </row>
    <row r="10" spans="1:23" ht="28.5" customHeight="1">
      <c r="A10" s="693" t="s">
        <v>413</v>
      </c>
      <c r="B10" s="694" t="s">
        <v>998</v>
      </c>
      <c r="C10" s="695" t="s">
        <v>1010</v>
      </c>
      <c r="D10" s="643" t="str">
        <f>VLOOKUP(B10,'ORDER BOOK'!$I$3:$K$18,3,0)</f>
        <v>C-5</v>
      </c>
      <c r="E10" s="644"/>
      <c r="F10" s="645"/>
      <c r="G10" s="646">
        <f>VLOOKUP(C10,'Spec Sheet (2)'!$A$4:$B$20737,2,0)</f>
        <v>1009</v>
      </c>
      <c r="H10" s="645"/>
      <c r="I10" s="401" t="str">
        <f>VLOOKUP(C10,'Spec Sheet (2)'!$A$4:$O$26649,15,0)</f>
        <v>1215mmX12Mic PET Corona</v>
      </c>
      <c r="J10" s="659">
        <f>VLOOKUP(B10,'PENDING ORDER'!$K$4:$Z$2510,16,0)</f>
        <v>217.6401869158878</v>
      </c>
      <c r="K10" s="41">
        <f>VLOOKUP(B10,'PENDING ORDER'!$K$2:$AB$2510,18,0)</f>
        <v>9.9515403253721004</v>
      </c>
      <c r="L10" s="647" t="str">
        <f>VLOOKUP(C10,'Spec Sheet (2)'!$A$4:$FO$26829,171,0)</f>
        <v>3ply</v>
      </c>
      <c r="M10" s="648">
        <v>3</v>
      </c>
      <c r="N10" s="643">
        <v>375</v>
      </c>
      <c r="O10" s="25">
        <f t="shared" si="3"/>
        <v>3.4422906811276488</v>
      </c>
      <c r="P10" s="25">
        <f>VLOOKUP(B10,'ORDER BOOK'!$I$3:$Q$18,9,0)/1000</f>
        <v>0.86250000000000004</v>
      </c>
      <c r="Q10" s="649">
        <f>VLOOKUP(B10,'ORDER BOOK'!$I$3:$W$18,15,0)</f>
        <v>46141</v>
      </c>
      <c r="R10" s="650">
        <f>VLOOKUP(B10,'ORDER BOOK'!$I$3:$Z$18,16,0)</f>
        <v>46157</v>
      </c>
      <c r="S10" s="651" t="s">
        <v>552</v>
      </c>
      <c r="T10" s="403">
        <f t="shared" si="4"/>
        <v>46142.815505250626</v>
      </c>
      <c r="U10" s="664">
        <f t="shared" si="5"/>
        <v>46142.958934029004</v>
      </c>
      <c r="V10" s="26"/>
      <c r="W10" s="26"/>
    </row>
    <row r="11" spans="1:23" ht="28.5" customHeight="1">
      <c r="A11" s="693" t="s">
        <v>413</v>
      </c>
      <c r="B11" s="694" t="s">
        <v>999</v>
      </c>
      <c r="C11" s="695" t="s">
        <v>1011</v>
      </c>
      <c r="D11" s="643" t="str">
        <f>VLOOKUP(B11,'ORDER BOOK'!$I$3:$K$18,3,0)</f>
        <v>C-6</v>
      </c>
      <c r="E11" s="644"/>
      <c r="F11" s="645"/>
      <c r="G11" s="646">
        <f>VLOOKUP(C11,'Spec Sheet (2)'!$A$4:$B$20737,2,0)</f>
        <v>1010</v>
      </c>
      <c r="H11" s="645"/>
      <c r="I11" s="401" t="str">
        <f>VLOOKUP(C11,'Spec Sheet (2)'!$A$4:$O$26649,15,0)</f>
        <v>1175mmX12Mic PET Corona</v>
      </c>
      <c r="J11" s="659">
        <f>VLOOKUP(B11,'PENDING ORDER'!$K$4:$Z$2510,16,0)</f>
        <v>358.98285268901009</v>
      </c>
      <c r="K11" s="41">
        <f>VLOOKUP(B11,'PENDING ORDER'!$K$2:$AB$2510,18,0)</f>
        <v>17.163894462778394</v>
      </c>
      <c r="L11" s="647" t="str">
        <f>VLOOKUP(C11,'Spec Sheet (2)'!$A$4:$FO$26829,171,0)</f>
        <v>2PLY</v>
      </c>
      <c r="M11" s="648">
        <v>3</v>
      </c>
      <c r="N11" s="643">
        <v>375</v>
      </c>
      <c r="O11" s="25">
        <f t="shared" si="3"/>
        <v>3.7628397539012619</v>
      </c>
      <c r="P11" s="25">
        <f>VLOOKUP(B11,'ORDER BOOK'!$I$3:$Q$18,9,0)/1000</f>
        <v>1</v>
      </c>
      <c r="Q11" s="649">
        <f>VLOOKUP(B11,'ORDER BOOK'!$I$3:$W$18,15,0)</f>
        <v>46141</v>
      </c>
      <c r="R11" s="650">
        <f>VLOOKUP(B11,'ORDER BOOK'!$I$3:$Z$18,16,0)</f>
        <v>46157</v>
      </c>
      <c r="S11" s="651" t="s">
        <v>552</v>
      </c>
      <c r="T11" s="403">
        <f t="shared" si="4"/>
        <v>46142.958934029004</v>
      </c>
      <c r="U11" s="664">
        <f t="shared" si="5"/>
        <v>46143.115719018751</v>
      </c>
      <c r="V11" s="26"/>
      <c r="W11" s="26"/>
    </row>
    <row r="12" spans="1:23" ht="28.5" customHeight="1">
      <c r="A12" s="693"/>
      <c r="B12" s="694"/>
      <c r="C12" s="695"/>
      <c r="D12" s="643" t="e">
        <f>VLOOKUP(B12,'ORDER BOOK'!$I$3:$K$18,3,0)</f>
        <v>#N/A</v>
      </c>
      <c r="E12" s="644"/>
      <c r="F12" s="645"/>
      <c r="G12" s="646" t="e">
        <f>VLOOKUP(C12,'Spec Sheet (2)'!$A$4:$B$20737,2,0)</f>
        <v>#N/A</v>
      </c>
      <c r="H12" s="645"/>
      <c r="I12" s="401" t="e">
        <f>VLOOKUP(C12,'Spec Sheet (2)'!$A$4:$O$26649,15,0)</f>
        <v>#N/A</v>
      </c>
      <c r="J12" s="659" t="e">
        <f>VLOOKUP(B12,'PENDING ORDER'!$K$4:$Z$2510,16,0)</f>
        <v>#N/A</v>
      </c>
      <c r="K12" s="41" t="e">
        <f>VLOOKUP(B12,'PENDING ORDER'!$K$2:$AB$2510,18,0)</f>
        <v>#N/A</v>
      </c>
      <c r="L12" s="647" t="e">
        <f>VLOOKUP(C12,'Spec Sheet (2)'!$A$4:$FO$26829,171,0)</f>
        <v>#N/A</v>
      </c>
      <c r="M12" s="648">
        <v>3</v>
      </c>
      <c r="N12" s="643">
        <v>375</v>
      </c>
      <c r="O12" s="25" t="e">
        <f t="shared" ref="O12" si="6">(K12*1000/N12/60)+M12</f>
        <v>#N/A</v>
      </c>
      <c r="P12" s="25" t="e">
        <f>VLOOKUP(B12,'ORDER BOOK'!$I$3:$Q$18,9,0)/1000</f>
        <v>#N/A</v>
      </c>
      <c r="Q12" s="649" t="e">
        <f>VLOOKUP(B12,'ORDER BOOK'!$I$3:$W$18,15,0)</f>
        <v>#N/A</v>
      </c>
      <c r="R12" s="650" t="e">
        <f>VLOOKUP(B12,'ORDER BOOK'!$I$3:$Z$18,16,0)</f>
        <v>#N/A</v>
      </c>
      <c r="S12" s="651" t="s">
        <v>552</v>
      </c>
      <c r="T12" s="403">
        <f t="shared" si="4"/>
        <v>46143.115719018751</v>
      </c>
      <c r="U12" s="664" t="e">
        <f t="shared" si="5"/>
        <v>#N/A</v>
      </c>
      <c r="V12" s="26"/>
      <c r="W12" s="26"/>
    </row>
  </sheetData>
  <mergeCells count="4">
    <mergeCell ref="C1:N1"/>
    <mergeCell ref="O1:S2"/>
    <mergeCell ref="A2:B2"/>
    <mergeCell ref="C2:N2"/>
  </mergeCells>
  <conditionalFormatting sqref="B1:B2 B4:B5 B8:B1048576">
    <cfRule type="duplicateValues" dxfId="169" priority="3225082"/>
    <cfRule type="duplicateValues" dxfId="168" priority="3225083"/>
    <cfRule type="aboveAverage" dxfId="167" priority="3225084" aboveAverage="0"/>
  </conditionalFormatting>
  <conditionalFormatting sqref="B1:B5 B8:B1048576">
    <cfRule type="duplicateValues" dxfId="166" priority="3225057"/>
    <cfRule type="duplicateValues" dxfId="165" priority="3225064"/>
    <cfRule type="duplicateValues" dxfId="164" priority="3225065"/>
    <cfRule type="duplicateValues" dxfId="163" priority="3225066"/>
  </conditionalFormatting>
  <conditionalFormatting sqref="B1:B1048576">
    <cfRule type="duplicateValues" dxfId="162" priority="3225051"/>
    <cfRule type="duplicateValues" dxfId="161" priority="3225052"/>
  </conditionalFormatting>
  <conditionalFormatting sqref="B4:B5 B8:B1048576">
    <cfRule type="duplicateValues" dxfId="160" priority="3225097"/>
  </conditionalFormatting>
  <conditionalFormatting sqref="B6:B12">
    <cfRule type="duplicateValues" dxfId="159" priority="3225042"/>
  </conditionalFormatting>
  <conditionalFormatting sqref="B8:B12">
    <cfRule type="duplicateValues" dxfId="158" priority="3225043"/>
    <cfRule type="duplicateValues" dxfId="157" priority="3225044"/>
    <cfRule type="aboveAverage" dxfId="156" priority="3225045" aboveAverage="0"/>
    <cfRule type="duplicateValues" dxfId="155" priority="3225046"/>
    <cfRule type="duplicateValues" dxfId="154" priority="3225047"/>
    <cfRule type="duplicateValues" dxfId="153" priority="3225048"/>
    <cfRule type="duplicateValues" dxfId="152" priority="3225049"/>
    <cfRule type="duplicateValues" dxfId="151" priority="3225050"/>
  </conditionalFormatting>
  <conditionalFormatting sqref="B8:B1048576">
    <cfRule type="duplicateValues" dxfId="150" priority="3225061"/>
    <cfRule type="duplicateValues" dxfId="149" priority="3225076"/>
    <cfRule type="duplicateValues" dxfId="148" priority="3225101"/>
    <cfRule type="duplicateValues" dxfId="147" priority="3225110"/>
  </conditionalFormatting>
  <pageMargins left="0.39370078740157483" right="0.23622047244094491" top="0.39370078740157483" bottom="0" header="0.11811023622047245" footer="0.31496062992125984"/>
  <pageSetup paperSize="9" scale="5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00B050"/>
    <pageSetUpPr fitToPage="1"/>
  </sheetPr>
  <dimension ref="A1:AA9"/>
  <sheetViews>
    <sheetView zoomScaleNormal="100" workbookViewId="0">
      <pane ySplit="4" topLeftCell="A5" activePane="bottomLeft" state="frozen"/>
      <selection pane="bottomLeft" activeCell="A7" sqref="A7"/>
    </sheetView>
  </sheetViews>
  <sheetFormatPr defaultColWidth="9.140625" defaultRowHeight="12.75"/>
  <cols>
    <col min="1" max="1" width="9.28515625" style="380" customWidth="1"/>
    <col min="2" max="2" width="47.42578125" style="261" customWidth="1"/>
    <col min="3" max="3" width="10.140625" style="143" customWidth="1"/>
    <col min="4" max="4" width="4.5703125" style="164" customWidth="1"/>
    <col min="5" max="5" width="13" style="132" customWidth="1"/>
    <col min="6" max="6" width="9.140625" style="328" customWidth="1"/>
    <col min="7" max="7" width="6.140625" style="132" customWidth="1"/>
    <col min="8" max="8" width="8.7109375" style="143" customWidth="1"/>
    <col min="9" max="9" width="5.42578125" style="132" customWidth="1"/>
    <col min="10" max="10" width="22.140625" style="145" customWidth="1"/>
    <col min="11" max="11" width="30.7109375" style="261" customWidth="1"/>
    <col min="12" max="12" width="5.7109375" style="132" customWidth="1"/>
    <col min="13" max="13" width="7.42578125" style="170" customWidth="1"/>
    <col min="14" max="14" width="18.5703125" style="144" customWidth="1"/>
    <col min="15" max="15" width="17.42578125" style="144" customWidth="1"/>
    <col min="16" max="16" width="5.5703125" style="144" customWidth="1"/>
    <col min="17" max="17" width="4.7109375" style="144" customWidth="1"/>
    <col min="18" max="18" width="4.5703125" style="132" customWidth="1"/>
    <col min="19" max="19" width="11.42578125" style="132" customWidth="1"/>
    <col min="20" max="20" width="8.42578125" style="132" customWidth="1"/>
    <col min="21" max="21" width="6.85546875" style="132" customWidth="1"/>
    <col min="22" max="22" width="6.85546875" style="142" customWidth="1"/>
    <col min="23" max="23" width="9.28515625" style="132" hidden="1" customWidth="1"/>
    <col min="24" max="24" width="7.5703125" style="132" hidden="1" customWidth="1"/>
    <col min="25" max="25" width="9.5703125" style="132" customWidth="1"/>
    <col min="26" max="28" width="9.140625" style="132"/>
    <col min="29" max="29" width="18.28515625" style="132" customWidth="1"/>
    <col min="30" max="30" width="14.140625" style="132" customWidth="1"/>
    <col min="31" max="16384" width="9.140625" style="132"/>
  </cols>
  <sheetData>
    <row r="1" spans="1:27" ht="40.5" customHeight="1">
      <c r="A1" s="404" t="s">
        <v>453</v>
      </c>
      <c r="B1" s="324"/>
      <c r="C1" s="765" t="s">
        <v>437</v>
      </c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  <c r="Q1" s="767"/>
      <c r="R1" s="768" t="s">
        <v>563</v>
      </c>
      <c r="S1" s="768"/>
      <c r="T1" s="768"/>
      <c r="U1" s="768"/>
      <c r="V1" s="769"/>
      <c r="Y1" s="304"/>
      <c r="Z1" s="141"/>
    </row>
    <row r="2" spans="1:27" s="135" customFormat="1" ht="15.75" customHeight="1">
      <c r="A2" s="405">
        <f ca="1">TODAY()</f>
        <v>46146</v>
      </c>
      <c r="B2" s="315"/>
      <c r="C2" s="772" t="s">
        <v>436</v>
      </c>
      <c r="D2" s="773"/>
      <c r="E2" s="773"/>
      <c r="F2" s="773"/>
      <c r="G2" s="773"/>
      <c r="H2" s="773"/>
      <c r="I2" s="773"/>
      <c r="J2" s="773"/>
      <c r="K2" s="773"/>
      <c r="L2" s="773"/>
      <c r="M2" s="773"/>
      <c r="N2" s="773"/>
      <c r="O2" s="773"/>
      <c r="P2" s="773"/>
      <c r="Q2" s="774"/>
      <c r="R2" s="770"/>
      <c r="S2" s="770"/>
      <c r="T2" s="770"/>
      <c r="U2" s="770"/>
      <c r="V2" s="771"/>
      <c r="W2" s="312"/>
      <c r="X2" s="309"/>
      <c r="Y2" s="369">
        <v>45236.291666666664</v>
      </c>
    </row>
    <row r="3" spans="1:27" s="323" customFormat="1" ht="41.25" customHeight="1">
      <c r="A3" s="406" t="s">
        <v>238</v>
      </c>
      <c r="B3" s="310" t="s">
        <v>12</v>
      </c>
      <c r="C3" s="310" t="s">
        <v>157</v>
      </c>
      <c r="D3" s="316" t="s">
        <v>265</v>
      </c>
      <c r="E3" s="310" t="s">
        <v>78</v>
      </c>
      <c r="F3" s="128" t="s">
        <v>79</v>
      </c>
      <c r="G3" s="310" t="s">
        <v>108</v>
      </c>
      <c r="H3" s="291" t="s">
        <v>75</v>
      </c>
      <c r="I3" s="310" t="s">
        <v>148</v>
      </c>
      <c r="J3" s="310" t="s">
        <v>232</v>
      </c>
      <c r="K3" s="310" t="s">
        <v>73</v>
      </c>
      <c r="L3" s="310" t="s">
        <v>109</v>
      </c>
      <c r="M3" s="317" t="s">
        <v>314</v>
      </c>
      <c r="N3" s="351" t="s">
        <v>7</v>
      </c>
      <c r="O3" s="318" t="s">
        <v>8</v>
      </c>
      <c r="P3" s="310" t="s">
        <v>110</v>
      </c>
      <c r="Q3" s="319" t="s">
        <v>228</v>
      </c>
      <c r="R3" s="310" t="s">
        <v>231</v>
      </c>
      <c r="S3" s="310" t="s">
        <v>74</v>
      </c>
      <c r="T3" s="310" t="s">
        <v>76</v>
      </c>
      <c r="U3" s="310" t="s">
        <v>212</v>
      </c>
      <c r="V3" s="326" t="s">
        <v>77</v>
      </c>
      <c r="W3" s="320" t="s">
        <v>274</v>
      </c>
      <c r="X3" s="321" t="s">
        <v>396</v>
      </c>
      <c r="Y3" s="322" t="s">
        <v>320</v>
      </c>
      <c r="Z3" s="323" t="s">
        <v>451</v>
      </c>
      <c r="AA3" s="323" t="s">
        <v>452</v>
      </c>
    </row>
    <row r="4" spans="1:27" s="136" customFormat="1" ht="12.75" customHeight="1">
      <c r="A4" s="407"/>
      <c r="B4" s="311" t="s">
        <v>213</v>
      </c>
      <c r="C4" s="165"/>
      <c r="D4" s="47"/>
      <c r="E4" s="44"/>
      <c r="F4" s="44"/>
      <c r="G4" s="44"/>
      <c r="H4" s="165"/>
      <c r="I4" s="44"/>
      <c r="J4" s="40"/>
      <c r="K4" s="44"/>
      <c r="L4" s="44"/>
      <c r="M4" s="297"/>
      <c r="N4" s="352"/>
      <c r="O4" s="48"/>
      <c r="P4" s="48"/>
      <c r="Q4" s="48"/>
      <c r="R4" s="44"/>
      <c r="S4" s="44"/>
      <c r="T4" s="44"/>
      <c r="U4" s="44"/>
      <c r="V4" s="314"/>
      <c r="W4" s="313"/>
      <c r="X4" s="298"/>
      <c r="Y4" s="298"/>
    </row>
    <row r="5" spans="1:27" s="136" customFormat="1" ht="13.15" customHeight="1">
      <c r="A5" s="346"/>
      <c r="B5" s="345"/>
      <c r="C5" s="329"/>
      <c r="D5" s="330"/>
      <c r="E5" s="331"/>
      <c r="F5" s="332"/>
      <c r="G5" s="333"/>
      <c r="H5" s="329"/>
      <c r="I5" s="334"/>
      <c r="J5" s="335"/>
      <c r="K5" s="335"/>
      <c r="L5" s="336"/>
      <c r="M5" s="337"/>
      <c r="N5" s="353"/>
      <c r="O5" s="338"/>
      <c r="P5" s="339"/>
      <c r="Q5" s="339"/>
      <c r="R5" s="340"/>
      <c r="S5" s="341"/>
      <c r="T5" s="342"/>
      <c r="U5" s="334"/>
      <c r="V5" s="343"/>
      <c r="W5" s="334"/>
      <c r="X5" s="334"/>
      <c r="Y5" s="344"/>
    </row>
    <row r="6" spans="1:27" s="136" customFormat="1" ht="35.1" customHeight="1">
      <c r="A6" s="578" t="s">
        <v>994</v>
      </c>
      <c r="B6" s="171" t="s">
        <v>1006</v>
      </c>
      <c r="C6" s="133" t="str">
        <f>VLOOKUP(A6,'PENDING ORDER'!$K$4:$M$39241,3,0)</f>
        <v>C-1</v>
      </c>
      <c r="D6" s="138">
        <f>VLOOKUP(A6,'ORDER BOOK'!$I$3:$Q$18,9,0)/1000</f>
        <v>1</v>
      </c>
      <c r="E6" s="263">
        <f>VLOOKUP(A6,'PENDING ORDER'!$K$4:$T$37807,10,0)</f>
        <v>307.30023018743827</v>
      </c>
      <c r="F6" s="327">
        <f>1000000*E6/VLOOKUP(B6,'Spec Sheet (2)'!$A$4:$I$26649,9,0)/VLOOKUP(B6,'Spec Sheet (2)'!$A$4:$BG$26649,59,0)</f>
        <v>15345.82922284336</v>
      </c>
      <c r="G6" s="290">
        <f>VLOOKUP(B6,'Spec Sheet (2)'!$A$4:$CX$26649,102,0)</f>
        <v>8</v>
      </c>
      <c r="H6" s="133" t="str">
        <f>VLOOKUP(B6,'Spec Sheet (2)'!$A$4:$CY$26829,103,0)</f>
        <v>White</v>
      </c>
      <c r="I6" s="292">
        <f>VLOOKUP(B6,'Spec Sheet (2)'!$A$4:$DC$25749,107,0)</f>
        <v>39.799999999999997</v>
      </c>
      <c r="J6" s="291" t="str">
        <f>VLOOKUP(B6,'Spec Sheet (2)'!$A$4:$Z$26649,15,0)</f>
        <v>1125mmX12Mic PET Chemical</v>
      </c>
      <c r="K6" s="262" t="str">
        <f>VLOOKUP(B6,'Spec Sheet (2)'!$A$4:$Z$25749,26,0)</f>
        <v>1115mmx10mic CC  Met Pet  ( OD 2.2+)</v>
      </c>
      <c r="L6" s="305">
        <f>F6*VLOOKUP(B6,'Spec Sheet (2)'!$A$4:$T$25749,20,0)*VLOOKUP(B6,'Spec Sheet (2)'!$A$4:$X$26649,24,0)/1000000</f>
        <v>239.54839416858488</v>
      </c>
      <c r="M6" s="306">
        <f>VLOOKUP(A6,'PENDING ORDER'!$K$4:$BO$3799,57,0)</f>
        <v>1393.82</v>
      </c>
      <c r="N6" s="369">
        <v>46142.291666666664</v>
      </c>
      <c r="O6" s="398">
        <f>N6+R6/24</f>
        <v>46142.338460636725</v>
      </c>
      <c r="P6" s="139">
        <f>F6/U6/60</f>
        <v>1.0230552815228906</v>
      </c>
      <c r="Q6" s="139">
        <v>0.1</v>
      </c>
      <c r="R6" s="140">
        <f>SUM(P6:Q6)</f>
        <v>1.1230552815228907</v>
      </c>
      <c r="S6" s="325">
        <f>T6*VLOOKUP(B6,'Spec Sheet (2)'!$A$4:$T$25749,20,0)*I6/1000000</f>
        <v>660.57180751945612</v>
      </c>
      <c r="T6" s="307">
        <f>F6-3%*F6</f>
        <v>14885.45434615806</v>
      </c>
      <c r="U6" s="292">
        <v>250</v>
      </c>
      <c r="V6" s="137" t="str">
        <f>IF(Z6&gt;0,"PRINTED","-")</f>
        <v>PRINTED</v>
      </c>
      <c r="W6" s="308" t="e">
        <f>VLOOKUP(#REF!,'[1]PENDING ORDER'!$K$568:$AJ$2559,26,0)</f>
        <v>#REF!</v>
      </c>
      <c r="X6" s="308" t="e">
        <f>VLOOKUP(#REF!,'[1]PENDING ORDER'!$K$4:$AO$2559,31,0)</f>
        <v>#REF!</v>
      </c>
      <c r="Y6" s="299">
        <f>VLOOKUP(A6,'PENDING ORDER'!$A$2:$H$43797,8,0)</f>
        <v>46141</v>
      </c>
      <c r="Z6" s="609">
        <f>VLOOKUP(A6,'PENDING ORDER'!$K$2:$AJ$29510,26,0)</f>
        <v>350</v>
      </c>
      <c r="AA6" s="136">
        <f>VLOOKUP(B6,'Spec Sheet (2)'!$A$4:$I$5752,9,0)</f>
        <v>1125</v>
      </c>
    </row>
    <row r="7" spans="1:27" s="136" customFormat="1" ht="35.1" customHeight="1">
      <c r="A7" s="578" t="s">
        <v>996</v>
      </c>
      <c r="B7" s="171" t="s">
        <v>1008</v>
      </c>
      <c r="C7" s="133" t="str">
        <f>VLOOKUP(A7,'PENDING ORDER'!$K$4:$M$39241,3,0)</f>
        <v>C-3</v>
      </c>
      <c r="D7" s="138">
        <f>VLOOKUP(A7,'ORDER BOOK'!$I$3:$Q$18,9,0)/1000</f>
        <v>1</v>
      </c>
      <c r="E7" s="263">
        <f>VLOOKUP(A7,'PENDING ORDER'!$K$4:$T$37807,10,0)</f>
        <v>344.16666666666669</v>
      </c>
      <c r="F7" s="327">
        <f>1000000*E7/VLOOKUP(B7,'Spec Sheet (2)'!$A$4:$I$26649,9,0)/VLOOKUP(B7,'Spec Sheet (2)'!$A$4:$BG$26649,59,0)</f>
        <v>30734.106076571828</v>
      </c>
      <c r="G7" s="290">
        <f>VLOOKUP(B7,'Spec Sheet (2)'!$A$4:$CX$26649,102,0)</f>
        <v>8</v>
      </c>
      <c r="H7" s="133" t="str">
        <f>VLOOKUP(B7,'Spec Sheet (2)'!$A$4:$CY$26829,103,0)</f>
        <v>White</v>
      </c>
      <c r="I7" s="292">
        <f>VLOOKUP(B7,'Spec Sheet (2)'!$A$4:$DC$25749,107,0)</f>
        <v>36</v>
      </c>
      <c r="J7" s="291" t="str">
        <f>VLOOKUP(B7,'Spec Sheet (2)'!$A$4:$Z$26649,15,0)</f>
        <v>949mmX12Mic BOPP BST</v>
      </c>
      <c r="K7" s="262" t="str">
        <f>VLOOKUP(B7,'Spec Sheet (2)'!$A$4:$Z$25749,26,0)</f>
        <v xml:space="preserve">939mmx18mic Met BOPP(HSL) </v>
      </c>
      <c r="L7" s="305">
        <f>F7*VLOOKUP(B7,'Spec Sheet (2)'!$A$4:$T$25749,20,0)*VLOOKUP(B7,'Spec Sheet (2)'!$A$4:$X$26649,24,0)/1000000</f>
        <v>467.52107481559534</v>
      </c>
      <c r="M7" s="306">
        <f>VLOOKUP(A7,'PENDING ORDER'!$K$4:$BO$3799,57,0)</f>
        <v>4455.2299999999996</v>
      </c>
      <c r="N7" s="686">
        <f>O6</f>
        <v>46142.338460636725</v>
      </c>
      <c r="O7" s="398">
        <f t="shared" ref="O7" si="0">N7+R7/24</f>
        <v>46142.427999820269</v>
      </c>
      <c r="P7" s="139">
        <f t="shared" ref="P7" si="1">F7/U7/60</f>
        <v>2.0489404051047884</v>
      </c>
      <c r="Q7" s="139">
        <v>0.1</v>
      </c>
      <c r="R7" s="140">
        <f t="shared" ref="R7" si="2">SUM(P7:Q7)</f>
        <v>2.1489404051047885</v>
      </c>
      <c r="S7" s="325">
        <f>T7*VLOOKUP(B7,'Spec Sheet (2)'!$A$4:$T$25749,20,0)*I7/1000000</f>
        <v>1007.767650158061</v>
      </c>
      <c r="T7" s="307">
        <f t="shared" ref="T7" si="3">F7-3%*F7</f>
        <v>29812.082894274674</v>
      </c>
      <c r="U7" s="292">
        <v>250</v>
      </c>
      <c r="V7" s="137" t="str">
        <f t="shared" ref="V7" si="4">IF(Z7&gt;0,"PRINTED","-")</f>
        <v>-</v>
      </c>
      <c r="W7" s="308" t="e">
        <f>VLOOKUP(#REF!,'[1]PENDING ORDER'!$K$568:$AJ$2559,26,0)</f>
        <v>#REF!</v>
      </c>
      <c r="X7" s="308" t="e">
        <f>VLOOKUP(#REF!,'[1]PENDING ORDER'!$K$4:$AO$2559,31,0)</f>
        <v>#REF!</v>
      </c>
      <c r="Y7" s="299">
        <f>VLOOKUP(A7,'PENDING ORDER'!$A$2:$H$43797,8,0)</f>
        <v>46141</v>
      </c>
      <c r="Z7" s="136">
        <f>VLOOKUP(A7,'PENDING ORDER'!$K$2:$AJ$29510,26,0)</f>
        <v>0</v>
      </c>
      <c r="AA7" s="136">
        <f>VLOOKUP(B7,'Spec Sheet (2)'!$A$4:$I$5752,9,0)</f>
        <v>949</v>
      </c>
    </row>
    <row r="8" spans="1:27" s="136" customFormat="1" ht="35.1" customHeight="1">
      <c r="A8" s="614"/>
      <c r="B8" s="665"/>
      <c r="C8" s="133" t="e">
        <f>VLOOKUP(A8,'PENDING ORDER'!$K$4:$M$39241,3,0)</f>
        <v>#N/A</v>
      </c>
      <c r="D8" s="138" t="e">
        <f>VLOOKUP(A8,'ORDER BOOK'!$I$3:$Q$18,9,0)/1000</f>
        <v>#N/A</v>
      </c>
      <c r="E8" s="263" t="e">
        <f>VLOOKUP(A8,'PENDING ORDER'!$K$4:$T$37807,10,0)</f>
        <v>#N/A</v>
      </c>
      <c r="F8" s="327" t="e">
        <f>1000000*E8/VLOOKUP(B8,'Spec Sheet (2)'!$A$4:$I$26649,9,0)/VLOOKUP(B8,'Spec Sheet (2)'!$A$4:$BG$26649,59,0)</f>
        <v>#N/A</v>
      </c>
      <c r="G8" s="290" t="e">
        <f>VLOOKUP(B8,'Spec Sheet (2)'!$A$4:$CX$26649,102,0)</f>
        <v>#N/A</v>
      </c>
      <c r="H8" s="133" t="e">
        <f>VLOOKUP(B8,'Spec Sheet (2)'!$A$4:$CY$26829,103,0)</f>
        <v>#N/A</v>
      </c>
      <c r="I8" s="292" t="e">
        <f>VLOOKUP(B8,'Spec Sheet (2)'!$A$4:$DC$25749,107,0)</f>
        <v>#N/A</v>
      </c>
      <c r="J8" s="291" t="e">
        <f>VLOOKUP(B8,'Spec Sheet (2)'!$A$4:$Z$26649,15,0)</f>
        <v>#N/A</v>
      </c>
      <c r="K8" s="262" t="e">
        <f>VLOOKUP(B8,'Spec Sheet (2)'!$A$4:$Z$25749,26,0)</f>
        <v>#N/A</v>
      </c>
      <c r="L8" s="305" t="e">
        <f>F8*VLOOKUP(B8,'Spec Sheet (2)'!$A$4:$T$25749,20,0)*VLOOKUP(B8,'Spec Sheet (2)'!$A$4:$X$26649,24,0)/1000000</f>
        <v>#N/A</v>
      </c>
      <c r="M8" s="306" t="e">
        <f>VLOOKUP(A8,'PENDING ORDER'!$K$4:$BO$3799,57,0)</f>
        <v>#N/A</v>
      </c>
      <c r="N8" s="686">
        <f t="shared" ref="N8:N9" si="5">O7</f>
        <v>46142.427999820269</v>
      </c>
      <c r="O8" s="398" t="e">
        <f t="shared" ref="O8:O9" si="6">N8+R8/24</f>
        <v>#N/A</v>
      </c>
      <c r="P8" s="139" t="e">
        <f>F8/U8/60</f>
        <v>#N/A</v>
      </c>
      <c r="Q8" s="139">
        <v>0.1</v>
      </c>
      <c r="R8" s="140" t="e">
        <f>SUM(P8:Q8)</f>
        <v>#N/A</v>
      </c>
      <c r="S8" s="325" t="e">
        <f>T8*VLOOKUP(B8,'Spec Sheet (2)'!$A$4:$T$25749,20,0)*I8/1000000</f>
        <v>#N/A</v>
      </c>
      <c r="T8" s="307" t="e">
        <f>F8-3%*F8</f>
        <v>#N/A</v>
      </c>
      <c r="U8" s="292">
        <v>250</v>
      </c>
      <c r="V8" s="137" t="e">
        <f>IF(Z8&gt;0,"PRINTED","-")</f>
        <v>#N/A</v>
      </c>
      <c r="W8" s="308" t="e">
        <f>VLOOKUP(#REF!,'[1]PENDING ORDER'!$K$568:$AJ$2559,26,0)</f>
        <v>#REF!</v>
      </c>
      <c r="X8" s="308" t="e">
        <f>VLOOKUP(#REF!,'[1]PENDING ORDER'!$K$4:$AO$2559,31,0)</f>
        <v>#REF!</v>
      </c>
      <c r="Y8" s="299" t="e">
        <f>VLOOKUP(A8,'PENDING ORDER'!$A$2:$H$43797,8,0)</f>
        <v>#N/A</v>
      </c>
      <c r="Z8" s="136" t="e">
        <f>VLOOKUP(A8,'PENDING ORDER'!$K$2:$AJ$29510,26,0)</f>
        <v>#N/A</v>
      </c>
      <c r="AA8" s="136" t="e">
        <f>VLOOKUP(B8,'Spec Sheet (2)'!$A$4:$I$5752,9,0)</f>
        <v>#N/A</v>
      </c>
    </row>
    <row r="9" spans="1:27" s="136" customFormat="1" ht="35.1" customHeight="1">
      <c r="A9" s="614"/>
      <c r="B9" s="665"/>
      <c r="C9" s="133" t="e">
        <f>VLOOKUP(A9,'PENDING ORDER'!$K$4:$M$39241,3,0)</f>
        <v>#N/A</v>
      </c>
      <c r="D9" s="138" t="e">
        <f>VLOOKUP(A9,'ORDER BOOK'!$I$3:$Q$18,9,0)/1000</f>
        <v>#N/A</v>
      </c>
      <c r="E9" s="263" t="e">
        <f>VLOOKUP(A9,'PENDING ORDER'!$K$4:$T$37807,10,0)</f>
        <v>#N/A</v>
      </c>
      <c r="F9" s="327" t="e">
        <f>1000000*E9/VLOOKUP(B9,'Spec Sheet (2)'!$A$4:$I$26649,9,0)/VLOOKUP(B9,'Spec Sheet (2)'!$A$4:$BG$26649,59,0)</f>
        <v>#N/A</v>
      </c>
      <c r="G9" s="290" t="e">
        <f>VLOOKUP(B9,'Spec Sheet (2)'!$A$4:$CX$26649,102,0)</f>
        <v>#N/A</v>
      </c>
      <c r="H9" s="133" t="e">
        <f>VLOOKUP(B9,'Spec Sheet (2)'!$A$4:$CY$26829,103,0)</f>
        <v>#N/A</v>
      </c>
      <c r="I9" s="292" t="e">
        <f>VLOOKUP(B9,'Spec Sheet (2)'!$A$4:$DC$25749,107,0)</f>
        <v>#N/A</v>
      </c>
      <c r="J9" s="291" t="e">
        <f>VLOOKUP(B9,'Spec Sheet (2)'!$A$4:$Z$26649,15,0)</f>
        <v>#N/A</v>
      </c>
      <c r="K9" s="262" t="e">
        <f>VLOOKUP(B9,'Spec Sheet (2)'!$A$4:$Z$25749,26,0)</f>
        <v>#N/A</v>
      </c>
      <c r="L9" s="305" t="e">
        <f>F9*VLOOKUP(B9,'Spec Sheet (2)'!$A$4:$T$25749,20,0)*VLOOKUP(B9,'Spec Sheet (2)'!$A$4:$X$26649,24,0)/1000000</f>
        <v>#N/A</v>
      </c>
      <c r="M9" s="306" t="e">
        <f>VLOOKUP(A9,'PENDING ORDER'!$K$4:$BO$3799,57,0)</f>
        <v>#N/A</v>
      </c>
      <c r="N9" s="686" t="e">
        <f t="shared" si="5"/>
        <v>#N/A</v>
      </c>
      <c r="O9" s="398" t="e">
        <f t="shared" si="6"/>
        <v>#N/A</v>
      </c>
      <c r="P9" s="139" t="e">
        <f>F9/U9/60</f>
        <v>#N/A</v>
      </c>
      <c r="Q9" s="139">
        <v>0.1</v>
      </c>
      <c r="R9" s="140" t="e">
        <f>SUM(P9:Q9)</f>
        <v>#N/A</v>
      </c>
      <c r="S9" s="325" t="e">
        <f>T9*VLOOKUP(B9,'Spec Sheet (2)'!$A$4:$T$25749,20,0)*I9/1000000</f>
        <v>#N/A</v>
      </c>
      <c r="T9" s="307" t="e">
        <f>F9-3%*F9</f>
        <v>#N/A</v>
      </c>
      <c r="U9" s="292">
        <v>250</v>
      </c>
      <c r="V9" s="137" t="e">
        <f>IF(Z9&gt;0,"PRINTED","-")</f>
        <v>#N/A</v>
      </c>
      <c r="W9" s="308" t="e">
        <f>VLOOKUP(#REF!,'[1]PENDING ORDER'!$K$568:$AJ$2559,26,0)</f>
        <v>#REF!</v>
      </c>
      <c r="X9" s="308" t="e">
        <f>VLOOKUP(#REF!,'[1]PENDING ORDER'!$K$4:$AO$2559,31,0)</f>
        <v>#REF!</v>
      </c>
      <c r="Y9" s="299" t="e">
        <f>VLOOKUP(A9,'PENDING ORDER'!$A$2:$H$43797,8,0)</f>
        <v>#N/A</v>
      </c>
      <c r="Z9" s="136" t="e">
        <f>VLOOKUP(A9,'PENDING ORDER'!$K$2:$AJ$29510,26,0)</f>
        <v>#N/A</v>
      </c>
      <c r="AA9" s="136" t="e">
        <f>VLOOKUP(B9,'Spec Sheet (2)'!$A$4:$I$5752,9,0)</f>
        <v>#N/A</v>
      </c>
    </row>
  </sheetData>
  <mergeCells count="3">
    <mergeCell ref="C1:Q1"/>
    <mergeCell ref="R1:V2"/>
    <mergeCell ref="C2:Q2"/>
  </mergeCells>
  <conditionalFormatting sqref="A1:A5 A8:A1048576">
    <cfRule type="duplicateValues" dxfId="146" priority="3225192"/>
    <cfRule type="duplicateValues" dxfId="145" priority="3225193"/>
    <cfRule type="duplicateValues" dxfId="144" priority="3225188"/>
    <cfRule type="duplicateValues" dxfId="143" priority="3225229"/>
    <cfRule type="duplicateValues" dxfId="142" priority="3225200"/>
    <cfRule type="duplicateValues" dxfId="141" priority="3225203"/>
  </conditionalFormatting>
  <conditionalFormatting sqref="A6">
    <cfRule type="duplicateValues" dxfId="140" priority="13"/>
    <cfRule type="duplicateValues" dxfId="139" priority="14"/>
    <cfRule type="duplicateValues" dxfId="138" priority="15"/>
    <cfRule type="duplicateValues" dxfId="137" priority="16"/>
    <cfRule type="duplicateValues" dxfId="136" priority="17"/>
    <cfRule type="duplicateValues" dxfId="135" priority="19"/>
    <cfRule type="duplicateValues" dxfId="134" priority="18"/>
    <cfRule type="duplicateValues" dxfId="133" priority="20"/>
    <cfRule type="duplicateValues" dxfId="132" priority="21"/>
    <cfRule type="duplicateValues" dxfId="131" priority="22"/>
    <cfRule type="duplicateValues" dxfId="130" priority="12"/>
  </conditionalFormatting>
  <conditionalFormatting sqref="A7">
    <cfRule type="duplicateValues" dxfId="129" priority="7"/>
    <cfRule type="duplicateValues" dxfId="128" priority="8"/>
    <cfRule type="duplicateValues" dxfId="127" priority="9"/>
    <cfRule type="duplicateValues" dxfId="126" priority="10"/>
    <cfRule type="duplicateValues" dxfId="125" priority="11"/>
    <cfRule type="duplicateValues" dxfId="124" priority="1"/>
    <cfRule type="duplicateValues" dxfId="123" priority="6"/>
    <cfRule type="duplicateValues" dxfId="122" priority="2"/>
    <cfRule type="duplicateValues" dxfId="121" priority="3"/>
    <cfRule type="duplicateValues" dxfId="120" priority="4"/>
    <cfRule type="duplicateValues" dxfId="119" priority="5"/>
  </conditionalFormatting>
  <conditionalFormatting sqref="A8">
    <cfRule type="aboveAverage" dxfId="118" priority="3210232" aboveAverage="0"/>
    <cfRule type="duplicateValues" dxfId="117" priority="3210233"/>
    <cfRule type="duplicateValues" dxfId="116" priority="3210234"/>
    <cfRule type="duplicateValues" dxfId="115" priority="3210235"/>
    <cfRule type="duplicateValues" dxfId="114" priority="3210236"/>
    <cfRule type="duplicateValues" dxfId="113" priority="3210237"/>
    <cfRule type="duplicateValues" dxfId="112" priority="3210238"/>
    <cfRule type="aboveAverage" dxfId="111" priority="3210239" aboveAverage="0"/>
    <cfRule type="duplicateValues" dxfId="110" priority="355"/>
    <cfRule type="duplicateValues" dxfId="109" priority="3210241"/>
    <cfRule type="duplicateValues" dxfId="108" priority="3210242"/>
    <cfRule type="duplicateValues" dxfId="107" priority="3210243"/>
    <cfRule type="duplicateValues" dxfId="106" priority="3210244"/>
    <cfRule type="duplicateValues" dxfId="105" priority="3210240"/>
    <cfRule type="duplicateValues" dxfId="104" priority="3210246"/>
    <cfRule type="duplicateValues" dxfId="103" priority="3210230"/>
    <cfRule type="duplicateValues" dxfId="102" priority="3210231"/>
    <cfRule type="duplicateValues" dxfId="101" priority="3210245"/>
  </conditionalFormatting>
  <conditionalFormatting sqref="A8:A1048576 A1:A5">
    <cfRule type="duplicateValues" dxfId="100" priority="3225206"/>
  </conditionalFormatting>
  <conditionalFormatting sqref="A9">
    <cfRule type="duplicateValues" dxfId="99" priority="3213339"/>
    <cfRule type="duplicateValues" dxfId="98" priority="3213340"/>
    <cfRule type="duplicateValues" dxfId="97" priority="3213341"/>
    <cfRule type="duplicateValues" dxfId="96" priority="3213342"/>
    <cfRule type="duplicateValues" dxfId="95" priority="3213343"/>
    <cfRule type="aboveAverage" dxfId="94" priority="3213344" aboveAverage="0"/>
    <cfRule type="duplicateValues" dxfId="93" priority="3213345"/>
    <cfRule type="duplicateValues" dxfId="92" priority="3213346"/>
    <cfRule type="aboveAverage" dxfId="91" priority="3213347" aboveAverage="0"/>
    <cfRule type="duplicateValues" dxfId="90" priority="3213348"/>
    <cfRule type="duplicateValues" dxfId="89" priority="3213349"/>
    <cfRule type="duplicateValues" dxfId="88" priority="3213350"/>
    <cfRule type="duplicateValues" dxfId="87" priority="3213351"/>
    <cfRule type="duplicateValues" dxfId="86" priority="3213352"/>
    <cfRule type="duplicateValues" dxfId="85" priority="3213332"/>
    <cfRule type="duplicateValues" dxfId="84" priority="3213336"/>
    <cfRule type="duplicateValues" dxfId="83" priority="3213337"/>
    <cfRule type="duplicateValues" dxfId="82" priority="3213338"/>
  </conditionalFormatting>
  <conditionalFormatting sqref="A9:A1048576 A1:A5">
    <cfRule type="duplicateValues" dxfId="81" priority="3225210"/>
  </conditionalFormatting>
  <conditionalFormatting sqref="A10:A1048576 A1:A5">
    <cfRule type="duplicateValues" dxfId="80" priority="3225244"/>
    <cfRule type="duplicateValues" dxfId="79" priority="3225255"/>
    <cfRule type="duplicateValues" dxfId="78" priority="3225254"/>
    <cfRule type="duplicateValues" dxfId="77" priority="3225233"/>
    <cfRule type="duplicateValues" dxfId="76" priority="3225239"/>
    <cfRule type="duplicateValues" dxfId="75" priority="3225242"/>
    <cfRule type="duplicateValues" dxfId="74" priority="3225214"/>
    <cfRule type="duplicateValues" dxfId="73" priority="3225217"/>
    <cfRule type="duplicateValues" dxfId="72" priority="3225218"/>
    <cfRule type="duplicateValues" dxfId="71" priority="3225219"/>
    <cfRule type="duplicateValues" dxfId="70" priority="3225243"/>
    <cfRule type="duplicateValues" dxfId="69" priority="3225256"/>
    <cfRule type="duplicateValues" dxfId="68" priority="3225257"/>
  </conditionalFormatting>
  <conditionalFormatting sqref="A10:A1048576">
    <cfRule type="cellIs" dxfId="67" priority="2904188" operator="greaterThan">
      <formula>45747</formula>
    </cfRule>
    <cfRule type="duplicateValues" dxfId="66" priority="3225266"/>
    <cfRule type="duplicateValues" dxfId="65" priority="3225271"/>
    <cfRule type="duplicateValues" dxfId="64" priority="3225272"/>
    <cfRule type="duplicateValues" dxfId="63" priority="3225273"/>
    <cfRule type="duplicateValues" dxfId="62" priority="3225277"/>
    <cfRule type="duplicateValues" dxfId="61" priority="3225278"/>
    <cfRule type="duplicateValues" dxfId="60" priority="3225279"/>
    <cfRule type="duplicateValues" dxfId="59" priority="3225280"/>
    <cfRule type="duplicateValues" dxfId="58" priority="3225281"/>
    <cfRule type="duplicateValues" dxfId="57" priority="3225287"/>
  </conditionalFormatting>
  <conditionalFormatting sqref="A10:B1048576 A1:B5">
    <cfRule type="duplicateValues" dxfId="56" priority="3225289"/>
  </conditionalFormatting>
  <conditionalFormatting sqref="B10:B1048576 B1:B5">
    <cfRule type="duplicateValues" dxfId="55" priority="3225292"/>
  </conditionalFormatting>
  <conditionalFormatting sqref="C1:C1048576">
    <cfRule type="duplicateValues" dxfId="54" priority="3225295"/>
    <cfRule type="duplicateValues" dxfId="53" priority="3225173"/>
    <cfRule type="duplicateValues" dxfId="52" priority="3225174"/>
    <cfRule type="duplicateValues" dxfId="51" priority="3225175"/>
    <cfRule type="duplicateValues" dxfId="50" priority="3225176"/>
  </conditionalFormatting>
  <conditionalFormatting sqref="C6:C1048576">
    <cfRule type="duplicateValues" dxfId="49" priority="3225185"/>
  </conditionalFormatting>
  <conditionalFormatting sqref="H6:H9">
    <cfRule type="containsText" dxfId="48" priority="151" operator="containsText" text="NATURAL">
      <formula>NOT(ISERROR(SEARCH("NATURAL",H6)))</formula>
    </cfRule>
    <cfRule type="containsText" dxfId="47" priority="152" operator="containsText" text="NATURAL">
      <formula>NOT(ISERROR(SEARCH("NATURAL",H6)))</formula>
    </cfRule>
  </conditionalFormatting>
  <pageMargins left="0.23622047244094491" right="0.23622047244094491" top="0.15748031496062992" bottom="0" header="0.31496062992125984" footer="0.31496062992125984"/>
  <pageSetup paperSize="9" scale="4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FFC000"/>
  </sheetPr>
  <dimension ref="A1:AF11"/>
  <sheetViews>
    <sheetView workbookViewId="0">
      <pane xSplit="4" ySplit="2" topLeftCell="H3" activePane="bottomRight" state="frozen"/>
      <selection activeCell="L44" sqref="L44"/>
      <selection pane="topRight" activeCell="L44" sqref="L44"/>
      <selection pane="bottomLeft" activeCell="L44" sqref="L44"/>
      <selection pane="bottomRight" activeCell="H15" sqref="H15"/>
    </sheetView>
  </sheetViews>
  <sheetFormatPr defaultColWidth="9.140625" defaultRowHeight="12"/>
  <cols>
    <col min="1" max="1" width="5.7109375" style="130" customWidth="1"/>
    <col min="2" max="2" width="56.85546875" style="130" customWidth="1"/>
    <col min="3" max="3" width="11.7109375" style="130" customWidth="1"/>
    <col min="4" max="4" width="5" style="130" customWidth="1"/>
    <col min="5" max="5" width="8.140625" style="130" customWidth="1"/>
    <col min="6" max="6" width="6.28515625" style="130" customWidth="1"/>
    <col min="7" max="7" width="33.28515625" style="131" customWidth="1"/>
    <col min="8" max="8" width="8.140625" style="131" customWidth="1"/>
    <col min="9" max="9" width="9.5703125" style="131" customWidth="1"/>
    <col min="10" max="10" width="12.7109375" style="131" customWidth="1"/>
    <col min="11" max="11" width="7.42578125" style="131" customWidth="1"/>
    <col min="12" max="12" width="8.28515625" style="130" customWidth="1"/>
    <col min="13" max="13" width="7.42578125" style="131" customWidth="1"/>
    <col min="14" max="14" width="6.28515625" style="191" customWidth="1"/>
    <col min="15" max="15" width="7.5703125" style="191" customWidth="1"/>
    <col min="16" max="16" width="8.28515625" style="196" customWidth="1"/>
    <col min="17" max="17" width="18.7109375" style="130" customWidth="1"/>
    <col min="18" max="18" width="19.28515625" style="196" customWidth="1"/>
    <col min="19" max="19" width="26.140625" style="130" customWidth="1"/>
    <col min="20" max="21" width="9.28515625" style="173" bestFit="1" customWidth="1"/>
    <col min="22" max="22" width="9.5703125" style="173" bestFit="1" customWidth="1"/>
    <col min="23" max="23" width="9.28515625" style="173" bestFit="1" customWidth="1"/>
    <col min="24" max="24" width="7.42578125" style="173" customWidth="1"/>
    <col min="25" max="25" width="9.5703125" style="172" bestFit="1" customWidth="1"/>
    <col min="26" max="26" width="11.5703125" style="172" customWidth="1"/>
    <col min="27" max="27" width="5.42578125" style="172" customWidth="1"/>
    <col min="28" max="28" width="9.28515625" style="195" bestFit="1" customWidth="1"/>
    <col min="29" max="29" width="9.28515625" style="130" bestFit="1" customWidth="1"/>
    <col min="30" max="31" width="9.28515625" style="172" bestFit="1" customWidth="1"/>
    <col min="32" max="16384" width="9.140625" style="130"/>
  </cols>
  <sheetData>
    <row r="1" spans="1:32" s="123" customFormat="1" ht="35.25" customHeight="1">
      <c r="B1" s="124"/>
      <c r="E1" s="125" t="s">
        <v>384</v>
      </c>
      <c r="G1" s="126"/>
      <c r="H1" s="192" t="s">
        <v>300</v>
      </c>
      <c r="I1" s="779">
        <f ca="1">TODAY()</f>
        <v>46146</v>
      </c>
      <c r="J1" s="779"/>
      <c r="K1" s="780"/>
      <c r="L1" s="776" t="s">
        <v>403</v>
      </c>
      <c r="M1" s="777"/>
      <c r="N1" s="777"/>
      <c r="O1" s="777"/>
      <c r="P1" s="778"/>
      <c r="Q1" s="189">
        <v>44065.291666666664</v>
      </c>
      <c r="R1" s="197"/>
      <c r="T1" s="153"/>
      <c r="U1" s="154"/>
      <c r="V1" s="155"/>
      <c r="W1" s="156"/>
      <c r="X1" s="157"/>
      <c r="Y1" s="158"/>
      <c r="Z1" s="159"/>
      <c r="AA1" s="174"/>
      <c r="AB1" s="193"/>
      <c r="AD1" s="199"/>
      <c r="AE1" s="199"/>
    </row>
    <row r="2" spans="1:32" s="239" customFormat="1" ht="32.25" customHeight="1">
      <c r="A2" s="222" t="s">
        <v>301</v>
      </c>
      <c r="B2" s="236" t="s">
        <v>12</v>
      </c>
      <c r="C2" s="222" t="s">
        <v>157</v>
      </c>
      <c r="D2" s="222" t="s">
        <v>303</v>
      </c>
      <c r="E2" s="222" t="s">
        <v>304</v>
      </c>
      <c r="F2" s="222" t="s">
        <v>302</v>
      </c>
      <c r="G2" s="222" t="s">
        <v>305</v>
      </c>
      <c r="H2" s="222" t="s">
        <v>382</v>
      </c>
      <c r="I2" s="223" t="s">
        <v>383</v>
      </c>
      <c r="J2" s="223" t="s">
        <v>401</v>
      </c>
      <c r="K2" s="223" t="s">
        <v>306</v>
      </c>
      <c r="L2" s="222" t="s">
        <v>320</v>
      </c>
      <c r="M2" s="223" t="s">
        <v>274</v>
      </c>
      <c r="N2" s="224" t="s">
        <v>307</v>
      </c>
      <c r="O2" s="224" t="s">
        <v>402</v>
      </c>
      <c r="P2" s="222" t="s">
        <v>269</v>
      </c>
      <c r="Q2" s="222" t="s">
        <v>297</v>
      </c>
      <c r="R2" s="222" t="s">
        <v>298</v>
      </c>
      <c r="S2" s="222" t="s">
        <v>391</v>
      </c>
      <c r="T2" s="225" t="s">
        <v>308</v>
      </c>
      <c r="U2" s="226" t="s">
        <v>309</v>
      </c>
      <c r="V2" s="227" t="s">
        <v>385</v>
      </c>
      <c r="W2" s="228" t="s">
        <v>293</v>
      </c>
      <c r="X2" s="229" t="s">
        <v>310</v>
      </c>
      <c r="Y2" s="230" t="s">
        <v>386</v>
      </c>
      <c r="Z2" s="231" t="s">
        <v>387</v>
      </c>
      <c r="AA2" s="232" t="s">
        <v>399</v>
      </c>
      <c r="AB2" s="233" t="s">
        <v>406</v>
      </c>
      <c r="AC2" s="237" t="s">
        <v>404</v>
      </c>
      <c r="AD2" s="234" t="s">
        <v>396</v>
      </c>
      <c r="AE2" s="235" t="s">
        <v>408</v>
      </c>
      <c r="AF2" s="238" t="s">
        <v>405</v>
      </c>
    </row>
    <row r="3" spans="1:32" s="129" customFormat="1" ht="12.75" customHeight="1">
      <c r="A3" s="182"/>
      <c r="B3" s="188" t="s">
        <v>400</v>
      </c>
      <c r="C3" s="183"/>
      <c r="D3" s="183"/>
      <c r="E3" s="184"/>
      <c r="F3" s="183"/>
      <c r="G3" s="185"/>
      <c r="H3" s="185"/>
      <c r="I3" s="186"/>
      <c r="J3" s="186"/>
      <c r="K3" s="187"/>
      <c r="L3" s="183"/>
      <c r="M3" s="187"/>
      <c r="N3" s="190"/>
      <c r="O3" s="190"/>
      <c r="P3" s="185"/>
      <c r="Q3" s="183"/>
      <c r="R3" s="185"/>
      <c r="S3" s="183"/>
      <c r="T3" s="176"/>
      <c r="U3" s="177"/>
      <c r="V3" s="178"/>
      <c r="W3" s="179"/>
      <c r="X3" s="180"/>
      <c r="Y3" s="181"/>
      <c r="Z3" s="160"/>
      <c r="AA3" s="175"/>
      <c r="AB3" s="194"/>
      <c r="AC3" s="127"/>
      <c r="AD3" s="128"/>
      <c r="AE3" s="128"/>
      <c r="AF3" s="127"/>
    </row>
    <row r="4" spans="1:32" s="751" customFormat="1" ht="14.25" customHeight="1">
      <c r="A4" s="728" t="s">
        <v>994</v>
      </c>
      <c r="B4" s="529" t="s">
        <v>1006</v>
      </c>
      <c r="C4" s="729" t="str">
        <f>VLOOKUP(A4,'ORDER BOOK'!I:K,3,0)</f>
        <v>C-1</v>
      </c>
      <c r="D4" s="730" t="s">
        <v>497</v>
      </c>
      <c r="E4" s="731">
        <f>IF(D4="2ND",VLOOKUP(A4,'PENDING ORDER'!$K$3:$CQ$11,85,0),VLOOKUP(A4,'PENDING ORDER'!$K$3:$AC$11,19,0))</f>
        <v>687.10950345281151</v>
      </c>
      <c r="F4" s="731">
        <f>IF(ISNA(VLOOKUP(A4,'PENDING ORDER'!$K$4:$AD$11,20,0)),"-",VLOOKUP(A4,'PENDING ORDER'!$K$4:$AD$11,20,0))</f>
        <v>15.345829222843362</v>
      </c>
      <c r="G4" s="732" t="str">
        <f>IF(ISNA(IF(D4="1ST",VLOOKUP(A4,'PENDING ORDER'!$K$4:$BK$11,53,0),VLOOKUP(A4,'PENDING ORDER'!$K$4:$BT$11,62,0))),"-",IF(D4="1ST",VLOOKUP(A4,'PENDING ORDER'!$K$4:$BK$11,53,0),VLOOKUP(A4,'PENDING ORDER'!$K$4:$BT$11,62,0)))</f>
        <v>1115mmX 21mic PE (Natural)</v>
      </c>
      <c r="H4" s="731">
        <f>IF(D4="1ST",F4*W4*AB4,F4*W4*Z4)</f>
        <v>333.54159815850045</v>
      </c>
      <c r="I4" s="733">
        <f>IF(D4="1ST",VLOOKUP(A4,'PENDING ORDER'!$K$4:$BO$11,57,0),VLOOKUP(A4,'PENDING ORDER'!$K$4:$BX$11,66,0))</f>
        <v>5413.6</v>
      </c>
      <c r="J4" s="734" t="s">
        <v>296</v>
      </c>
      <c r="K4" s="735">
        <f>IF(D4="1ST",V4,Y4)</f>
        <v>1102.5</v>
      </c>
      <c r="L4" s="736">
        <f>VLOOKUP(A4,'ORDER BOOK'!I:W,15,0)</f>
        <v>46141</v>
      </c>
      <c r="M4" s="737">
        <f>IF(ISNA(VLOOKUP(A4,'PENDING ORDER'!$K$4:$AJ$11,26,0)),"-",VLOOKUP(A4,'PENDING ORDER'!$K$4:$AJ$11,26,0))</f>
        <v>350</v>
      </c>
      <c r="N4" s="738">
        <f>(F4*1000*1.3/AA4/60)+0.5</f>
        <v>2.7166197766329305</v>
      </c>
      <c r="O4" s="738">
        <f>VLOOKUP(A4,'PENDING ORDER'!$K$4:$P$11,6,0)/1000</f>
        <v>1</v>
      </c>
      <c r="P4" s="732"/>
      <c r="Q4" s="739">
        <v>46142.291666666664</v>
      </c>
      <c r="R4" s="740">
        <f>Q4+N4/24</f>
        <v>46142.404859157359</v>
      </c>
      <c r="S4" s="741">
        <f>VLOOKUP(B4,'Spec Sheet (2)'!$A$4:$CU$9,99,0)</f>
        <v>0</v>
      </c>
      <c r="T4" s="742">
        <f>IF(ISNA(VLOOKUP(A4,'PENDING ORDER'!$K$4:$CC$11,71,0)),"-",VLOOKUP(A4,'PENDING ORDER'!$K$4:$CC$11,71,0))</f>
        <v>16.799999999999997</v>
      </c>
      <c r="U4" s="743">
        <f>IF(ISNA(VLOOKUP(A4,'PENDING ORDER'!$K$4:$CN$11,82,0)),"-",VLOOKUP(A4,'PENDING ORDER'!$K$4:$CN$11,82,0))</f>
        <v>39.799999999999997</v>
      </c>
      <c r="V4" s="744">
        <f>F4*W4*U4*VLOOKUP(B4,'Spec Sheet (2)'!$A$4:$FL$9,168,0)</f>
        <v>721.46497862545209</v>
      </c>
      <c r="W4" s="745">
        <f>IF(ISNA(VLOOKUP(A4,'PENDING ORDER'!$K$4:$BE$11,47,0)),"-",VLOOKUP(A4,'PENDING ORDER'!$K$4:$BE$11,47,0))</f>
        <v>1.125</v>
      </c>
      <c r="X4" s="746">
        <f>IF(ISNA(VLOOKUP(A4,'PENDING ORDER'!$K$4:$CK$11,79,0)),"-",VLOOKUP(A4,'PENDING ORDER'!$K$4:$CK$11,79,0))</f>
        <v>60.82</v>
      </c>
      <c r="Y4" s="747">
        <f>F4*W4*X4*VLOOKUP(B4,'Spec Sheet (2)'!$A$4:$FL$9,168,0)</f>
        <v>1102.5</v>
      </c>
      <c r="Z4" s="748">
        <f>VLOOKUP(B4,'Spec Sheet (2)'!$A$4:$AI$9,35,0)</f>
        <v>19.32</v>
      </c>
      <c r="AA4" s="749">
        <v>150</v>
      </c>
      <c r="AB4" s="750">
        <f>VLOOKUP(A4,'PENDING ORDER'!$K$4:$CD$11,72,0)</f>
        <v>14</v>
      </c>
      <c r="AC4" s="741">
        <f>M4</f>
        <v>350</v>
      </c>
      <c r="AD4" s="729" t="e">
        <f>VLOOKUP(A4,'PENDING ORDER'!#REF!,36,0)</f>
        <v>#REF!</v>
      </c>
      <c r="AE4" s="729">
        <f>VLOOKUP(A4,'PENDING ORDER'!$K$4:$AO$11,31,0)</f>
        <v>0</v>
      </c>
      <c r="AF4" s="741"/>
    </row>
    <row r="5" spans="1:32" s="751" customFormat="1" ht="14.25" customHeight="1">
      <c r="A5" s="728" t="s">
        <v>997</v>
      </c>
      <c r="B5" s="529" t="s">
        <v>1009</v>
      </c>
      <c r="C5" s="729" t="str">
        <f>VLOOKUP(A5,'ORDER BOOK'!I:K,3,0)</f>
        <v>C-4</v>
      </c>
      <c r="D5" s="730" t="s">
        <v>1024</v>
      </c>
      <c r="E5" s="731">
        <f>IF(D5="2ND",VLOOKUP(A5,'PENDING ORDER'!$K$4:$CQ$11,85,0),VLOOKUP(A5,'PENDING ORDER'!$K$4:$AC$11,19,0))</f>
        <v>256.29921259842513</v>
      </c>
      <c r="F5" s="731">
        <f>IF(ISNA(VLOOKUP(A5,'PENDING ORDER'!$K$4:$AD$11,20,0)),"-",VLOOKUP(A5,'PENDING ORDER'!$K$4:$AD$11,20,0))</f>
        <v>17.011762418586564</v>
      </c>
      <c r="G5" s="732" t="str">
        <f>IF(ISNA(IF(D5="1ST",VLOOKUP(A5,'PENDING ORDER'!$K$4:$BK$11,53,0),VLOOKUP(A5,'PENDING ORDER'!$K$4:$BT$11,62,0))),"-",IF(D5="1ST",VLOOKUP(A5,'PENDING ORDER'!$K$4:$BK$11,53,0),VLOOKUP(A5,'PENDING ORDER'!$K$4:$BT$11,62,0)))</f>
        <v>1210mmx8mic Met Pet Chemical</v>
      </c>
      <c r="H5" s="731">
        <f t="shared" ref="H5:H10" si="0">IF(D5="1ST",F5*W5*AB5,F5*W5*Z5)</f>
        <v>231.49606299212599</v>
      </c>
      <c r="I5" s="733">
        <f>IF(D5="1ST",VLOOKUP(A5,'PENDING ORDER'!$K$4:$BO$11,57,0),VLOOKUP(A5,'PENDING ORDER'!$K$4:$BX$11,66,0))</f>
        <v>4546.2299999999996</v>
      </c>
      <c r="J5" s="734" t="s">
        <v>296</v>
      </c>
      <c r="K5" s="735">
        <f t="shared" ref="K5:K10" si="1">IF(D5="1ST",V5,Y5)</f>
        <v>566.44192913385825</v>
      </c>
      <c r="L5" s="736">
        <f>VLOOKUP(A5,'ORDER BOOK'!I:W,15,0)</f>
        <v>46141</v>
      </c>
      <c r="M5" s="737">
        <f>IF(ISNA(VLOOKUP(A5,'PENDING ORDER'!$K$4:$AJ$11,26,0)),"-",VLOOKUP(A5,'PENDING ORDER'!$K$4:$AJ$11,26,0))</f>
        <v>0</v>
      </c>
      <c r="N5" s="738">
        <f t="shared" ref="N5:N10" si="2">(F5*1000*2/AA5/60)+0.5</f>
        <v>4.2803916485747919</v>
      </c>
      <c r="O5" s="738">
        <f>VLOOKUP(A5,'PENDING ORDER'!$K$4:$P$11,6,0)/1000</f>
        <v>1</v>
      </c>
      <c r="P5" s="732"/>
      <c r="Q5" s="398">
        <f>R4</f>
        <v>46142.404859157359</v>
      </c>
      <c r="R5" s="740">
        <f t="shared" ref="R5" si="3">Q5+N5/24</f>
        <v>46142.583208809381</v>
      </c>
      <c r="S5" s="741">
        <f>VLOOKUP(B5,'Spec Sheet (2)'!$A$4:$CU$9,99,0)</f>
        <v>0</v>
      </c>
      <c r="T5" s="742">
        <f>IF(ISNA(VLOOKUP(A5,'PENDING ORDER'!$K$4:$CC$11,71,0)),"-",VLOOKUP(A5,'PENDING ORDER'!$K$4:$CC$11,71,0))</f>
        <v>11.2</v>
      </c>
      <c r="U5" s="743">
        <f>IF(ISNA(VLOOKUP(A5,'PENDING ORDER'!$K$4:$CN$11,82,0)),"-",VLOOKUP(A5,'PENDING ORDER'!$K$4:$CN$11,82,0))</f>
        <v>26.099999999999998</v>
      </c>
      <c r="V5" s="744">
        <f>F5*W5*U5*VLOOKUP(B5,'Spec Sheet (2)'!$A$4:$FL$9,168,0)</f>
        <v>566.44192913385825</v>
      </c>
      <c r="W5" s="745">
        <f>IF(ISNA(VLOOKUP(A5,'PENDING ORDER'!$K$4:$BE$11,47,0)),"-",VLOOKUP(A5,'PENDING ORDER'!$K$4:$BE$11,47,0))</f>
        <v>1.2150000000000001</v>
      </c>
      <c r="X5" s="746">
        <f>IF(ISNA(VLOOKUP(A5,'PENDING ORDER'!$K$4:$CK$11,79,0)),"-",VLOOKUP(A5,'PENDING ORDER'!$K$4:$CK$11,79,0))</f>
        <v>50.800000000000004</v>
      </c>
      <c r="Y5" s="747">
        <f>F5*W5*X5*VLOOKUP(B5,'Spec Sheet (2)'!$A$4:$FL$9,168,0)</f>
        <v>1102.5000000000002</v>
      </c>
      <c r="Z5" s="748">
        <f>VLOOKUP(B5,'Spec Sheet (2)'!$A$4:$AI$9,35,0)</f>
        <v>23</v>
      </c>
      <c r="AA5" s="749">
        <v>150</v>
      </c>
      <c r="AB5" s="750">
        <f>VLOOKUP(A5,'PENDING ORDER'!$K$4:$CD$11,72,0)</f>
        <v>11.2</v>
      </c>
      <c r="AC5" s="741">
        <f t="shared" ref="AC5:AC10" si="4">M5</f>
        <v>0</v>
      </c>
      <c r="AD5" s="729" t="e">
        <f>VLOOKUP(A5,'PENDING ORDER'!#REF!,36,0)</f>
        <v>#REF!</v>
      </c>
      <c r="AE5" s="729">
        <f>VLOOKUP(A5,'PENDING ORDER'!$K$4:$AO$11,31,0)</f>
        <v>0</v>
      </c>
      <c r="AF5" s="741"/>
    </row>
    <row r="6" spans="1:32" s="751" customFormat="1" ht="14.25" customHeight="1">
      <c r="A6" s="728" t="s">
        <v>998</v>
      </c>
      <c r="B6" s="529" t="s">
        <v>1010</v>
      </c>
      <c r="C6" s="729" t="str">
        <f>VLOOKUP(A6,'ORDER BOOK'!I:K,3,0)</f>
        <v>C-5</v>
      </c>
      <c r="D6" s="730" t="s">
        <v>1024</v>
      </c>
      <c r="E6" s="731">
        <f>IF(D6="2ND",VLOOKUP(A6,'PENDING ORDER'!$K$4:$CQ$11,85,0),VLOOKUP(A6,'PENDING ORDER'!$K$4:$AC$11,19,0))</f>
        <v>217.6401869158878</v>
      </c>
      <c r="F6" s="731">
        <f>IF(ISNA(VLOOKUP(A6,'PENDING ORDER'!$K$4:$AD$11,20,0)),"-",VLOOKUP(A6,'PENDING ORDER'!$K$4:$AD$11,20,0))</f>
        <v>9.9515403253721004</v>
      </c>
      <c r="G6" s="732" t="str">
        <f>IF(ISNA(IF(D6="1ST",VLOOKUP(A6,'PENDING ORDER'!$K$4:$BK$11,53,0),VLOOKUP(A6,'PENDING ORDER'!$K$4:$BT$11,62,0))),"-",IF(D6="1ST",VLOOKUP(A6,'PENDING ORDER'!$K$4:$BK$11,53,0),VLOOKUP(A6,'PENDING ORDER'!$K$4:$BT$11,62,0)))</f>
        <v>1210mmx12mic Met Pet Corona</v>
      </c>
      <c r="H6" s="731">
        <f t="shared" si="0"/>
        <v>203.13084112149531</v>
      </c>
      <c r="I6" s="733">
        <f>IF(D6="1ST",VLOOKUP(A6,'PENDING ORDER'!$K$4:$BO$11,57,0),VLOOKUP(A6,'PENDING ORDER'!$K$4:$BX$11,66,0))</f>
        <v>1000.84</v>
      </c>
      <c r="J6" s="734" t="s">
        <v>296</v>
      </c>
      <c r="K6" s="735">
        <f t="shared" si="1"/>
        <v>462.12266355140179</v>
      </c>
      <c r="L6" s="736">
        <f>VLOOKUP(A6,'ORDER BOOK'!I:W,15,0)</f>
        <v>46141</v>
      </c>
      <c r="M6" s="737">
        <f>IF(ISNA(VLOOKUP(A6,'PENDING ORDER'!$K$4:$AJ$11,26,0)),"-",VLOOKUP(A6,'PENDING ORDER'!$K$4:$AJ$11,26,0))</f>
        <v>0</v>
      </c>
      <c r="N6" s="738">
        <f t="shared" si="2"/>
        <v>2.7114534056382444</v>
      </c>
      <c r="O6" s="738">
        <f>VLOOKUP(A6,'PENDING ORDER'!$K$4:$P$11,6,0)/1000</f>
        <v>0.86250000000000004</v>
      </c>
      <c r="P6" s="732"/>
      <c r="Q6" s="398">
        <f t="shared" ref="Q6:Q11" si="5">R5</f>
        <v>46142.583208809381</v>
      </c>
      <c r="R6" s="740">
        <f t="shared" ref="R6:R10" si="6">Q6+N6/24</f>
        <v>46142.696186034613</v>
      </c>
      <c r="S6" s="741">
        <f>VLOOKUP(B6,'Spec Sheet (2)'!$A$4:$CU$9,99,0)</f>
        <v>0</v>
      </c>
      <c r="T6" s="742">
        <f>IF(ISNA(VLOOKUP(A6,'PENDING ORDER'!$K$4:$CC$11,71,0)),"-",VLOOKUP(A6,'PENDING ORDER'!$K$4:$CC$11,71,0))</f>
        <v>16.799999999999997</v>
      </c>
      <c r="U6" s="743">
        <f>IF(ISNA(VLOOKUP(A6,'PENDING ORDER'!$K$4:$CN$11,82,0)),"-",VLOOKUP(A6,'PENDING ORDER'!$K$4:$CN$11,82,0))</f>
        <v>36.399999999999991</v>
      </c>
      <c r="V6" s="744">
        <f>F6*W6*U6*VLOOKUP(B6,'Spec Sheet (2)'!$A$4:$FL$9,168,0)</f>
        <v>462.12266355140179</v>
      </c>
      <c r="W6" s="745">
        <f>IF(ISNA(VLOOKUP(A6,'PENDING ORDER'!$K$4:$BE$11,47,0)),"-",VLOOKUP(A6,'PENDING ORDER'!$K$4:$BE$11,47,0))</f>
        <v>1.2150000000000001</v>
      </c>
      <c r="X6" s="746">
        <f>IF(ISNA(VLOOKUP(A6,'PENDING ORDER'!$K$4:$CK$11,79,0)),"-",VLOOKUP(A6,'PENDING ORDER'!$K$4:$CK$11,79,0))</f>
        <v>74.900000000000006</v>
      </c>
      <c r="Y6" s="747">
        <f>F6*W6*X6*VLOOKUP(B6,'Spec Sheet (2)'!$A$4:$FL$9,168,0)</f>
        <v>950.90625000000011</v>
      </c>
      <c r="Z6" s="748">
        <f>VLOOKUP(B6,'Spec Sheet (2)'!$A$4:$AI$9,35,0)</f>
        <v>36.800000000000004</v>
      </c>
      <c r="AA6" s="749">
        <v>150</v>
      </c>
      <c r="AB6" s="750">
        <f>VLOOKUP(A6,'PENDING ORDER'!$K$4:$CD$11,72,0)</f>
        <v>16.799999999999997</v>
      </c>
      <c r="AC6" s="741">
        <f t="shared" si="4"/>
        <v>0</v>
      </c>
      <c r="AD6" s="729" t="e">
        <f>VLOOKUP(A6,'PENDING ORDER'!#REF!,36,0)</f>
        <v>#REF!</v>
      </c>
      <c r="AE6" s="729">
        <f>VLOOKUP(A6,'PENDING ORDER'!$K$4:$AO$11,31,0)</f>
        <v>0</v>
      </c>
      <c r="AF6" s="741"/>
    </row>
    <row r="7" spans="1:32" s="751" customFormat="1" ht="14.25" customHeight="1">
      <c r="A7" s="728" t="s">
        <v>999</v>
      </c>
      <c r="B7" s="529" t="s">
        <v>1011</v>
      </c>
      <c r="C7" s="729" t="str">
        <f>VLOOKUP(A7,'ORDER BOOK'!I:K,3,0)</f>
        <v>C-6</v>
      </c>
      <c r="D7" s="730" t="s">
        <v>1024</v>
      </c>
      <c r="E7" s="731">
        <f>IF(D7="2ND",VLOOKUP(A7,'PENDING ORDER'!$K$4:$CQ$11,85,0),VLOOKUP(A7,'PENDING ORDER'!$K$4:$AC$11,19,0))</f>
        <v>358.98285268901009</v>
      </c>
      <c r="F7" s="731">
        <f>IF(ISNA(VLOOKUP(A7,'PENDING ORDER'!$K$4:$AD$11,20,0)),"-",VLOOKUP(A7,'PENDING ORDER'!$K$4:$AD$11,20,0))</f>
        <v>17.163894462778394</v>
      </c>
      <c r="G7" s="732" t="str">
        <f>IF(ISNA(IF(D7="1ST",VLOOKUP(A7,'PENDING ORDER'!$K$4:$BK$11,53,0),VLOOKUP(A7,'PENDING ORDER'!$K$4:$BT$11,62,0))),"-",IF(D7="1ST",VLOOKUP(A7,'PENDING ORDER'!$K$4:$BK$11,53,0),VLOOKUP(A7,'PENDING ORDER'!$K$4:$BT$11,62,0)))</f>
        <v>1175mmx33mic PE (White)</v>
      </c>
      <c r="H7" s="731">
        <f t="shared" si="0"/>
        <v>625.59820732657829</v>
      </c>
      <c r="I7" s="733" t="str">
        <f>IF(D7="1ST",VLOOKUP(A7,'PENDING ORDER'!$K$4:$BO$11,57,0),VLOOKUP(A7,'PENDING ORDER'!$K$4:$BX$11,66,0))</f>
        <v>-</v>
      </c>
      <c r="J7" s="734" t="s">
        <v>104</v>
      </c>
      <c r="K7" s="735">
        <f t="shared" si="1"/>
        <v>1071.2249999999999</v>
      </c>
      <c r="L7" s="736">
        <f>VLOOKUP(A7,'ORDER BOOK'!I:W,15,0)</f>
        <v>46141</v>
      </c>
      <c r="M7" s="737">
        <f>IF(ISNA(VLOOKUP(A7,'PENDING ORDER'!$K$4:$AJ$11,26,0)),"-",VLOOKUP(A7,'PENDING ORDER'!$K$4:$AJ$11,26,0))</f>
        <v>0</v>
      </c>
      <c r="N7" s="738">
        <f t="shared" si="2"/>
        <v>4.3141987695063095</v>
      </c>
      <c r="O7" s="738">
        <f>VLOOKUP(A7,'PENDING ORDER'!$K$4:$P$11,6,0)/1000</f>
        <v>1</v>
      </c>
      <c r="P7" s="732"/>
      <c r="Q7" s="398">
        <f t="shared" si="5"/>
        <v>46142.696186034613</v>
      </c>
      <c r="R7" s="740">
        <f t="shared" si="6"/>
        <v>46142.875944316678</v>
      </c>
      <c r="S7" s="741">
        <f>VLOOKUP(B7,'Spec Sheet (2)'!$A$4:$CU$9,99,0)</f>
        <v>0</v>
      </c>
      <c r="T7" s="742">
        <f>IF(ISNA(VLOOKUP(A7,'PENDING ORDER'!$K$4:$CC$11,71,0)),"-",VLOOKUP(A7,'PENDING ORDER'!$K$4:$CC$11,71,0))</f>
        <v>16.799999999999997</v>
      </c>
      <c r="U7" s="743">
        <f>IF(ISNA(VLOOKUP(A7,'PENDING ORDER'!$K$4:$CN$11,82,0)),"-",VLOOKUP(A7,'PENDING ORDER'!$K$4:$CN$11,82,0))</f>
        <v>51.319999999999993</v>
      </c>
      <c r="V7" s="744">
        <f>F7*W7*U7*VLOOKUP(B7,'Spec Sheet (2)'!$A$4:$FL$9,168,0)</f>
        <v>1071.2249999999999</v>
      </c>
      <c r="W7" s="745">
        <f>IF(ISNA(VLOOKUP(A7,'PENDING ORDER'!$K$4:$BE$11,47,0)),"-",VLOOKUP(A7,'PENDING ORDER'!$K$4:$BE$11,47,0))</f>
        <v>1.175</v>
      </c>
      <c r="X7" s="746">
        <f>IF(ISNA(VLOOKUP(A7,'PENDING ORDER'!$K$4:$CK$11,79,0)),"-",VLOOKUP(A7,'PENDING ORDER'!$K$4:$CK$11,79,0))</f>
        <v>51.319999999999993</v>
      </c>
      <c r="Y7" s="747">
        <f>F7*W7*X7*VLOOKUP(B7,'Spec Sheet (2)'!$A$4:$FL$9,168,0)</f>
        <v>1071.2249999999999</v>
      </c>
      <c r="Z7" s="748">
        <f>VLOOKUP(B7,'Spec Sheet (2)'!$A$4:$AI$9,35,0)</f>
        <v>0</v>
      </c>
      <c r="AA7" s="749">
        <v>150</v>
      </c>
      <c r="AB7" s="750">
        <f>VLOOKUP(A7,'PENDING ORDER'!$K$4:$CD$11,72,0)</f>
        <v>31.02</v>
      </c>
      <c r="AC7" s="741">
        <f t="shared" si="4"/>
        <v>0</v>
      </c>
      <c r="AD7" s="729" t="e">
        <f>VLOOKUP(A7,'PENDING ORDER'!#REF!,36,0)</f>
        <v>#REF!</v>
      </c>
      <c r="AE7" s="729">
        <f>VLOOKUP(A7,'PENDING ORDER'!$K$4:$AO$11,31,0)</f>
        <v>0</v>
      </c>
      <c r="AF7" s="741"/>
    </row>
    <row r="8" spans="1:32" s="751" customFormat="1" ht="14.25" customHeight="1">
      <c r="A8" s="752"/>
      <c r="B8" s="753"/>
      <c r="C8" s="729"/>
      <c r="D8" s="730"/>
      <c r="E8" s="731"/>
      <c r="F8" s="731"/>
      <c r="G8" s="732"/>
      <c r="H8" s="731"/>
      <c r="I8" s="733"/>
      <c r="J8" s="734"/>
      <c r="K8" s="735"/>
      <c r="L8" s="736"/>
      <c r="M8" s="737"/>
      <c r="N8" s="738"/>
      <c r="O8" s="738"/>
      <c r="P8" s="732"/>
      <c r="Q8" s="398"/>
      <c r="R8" s="740"/>
      <c r="S8" s="741"/>
      <c r="T8" s="742"/>
      <c r="U8" s="743"/>
      <c r="V8" s="744"/>
      <c r="W8" s="745"/>
      <c r="X8" s="746"/>
      <c r="Y8" s="747"/>
      <c r="Z8" s="748"/>
      <c r="AA8" s="749"/>
      <c r="AB8" s="750"/>
      <c r="AC8" s="741"/>
      <c r="AD8" s="729"/>
      <c r="AE8" s="729"/>
      <c r="AF8" s="741"/>
    </row>
    <row r="9" spans="1:32" s="751" customFormat="1" ht="14.25" customHeight="1">
      <c r="A9" s="728" t="s">
        <v>997</v>
      </c>
      <c r="B9" s="529" t="s">
        <v>1009</v>
      </c>
      <c r="C9" s="729" t="str">
        <f>VLOOKUP(A9,'ORDER BOOK'!I:K,3,0)</f>
        <v>C-4</v>
      </c>
      <c r="D9" s="730" t="s">
        <v>497</v>
      </c>
      <c r="E9" s="731">
        <f>IF(D9="2ND",VLOOKUP(A9,'PENDING ORDER'!$K$4:$CQ$11,85,0),VLOOKUP(A9,'PENDING ORDER'!$K$4:$AC$11,19,0))</f>
        <v>539.46850393700777</v>
      </c>
      <c r="F9" s="731">
        <f>IF(ISNA(VLOOKUP(A9,'PENDING ORDER'!$K$4:$AD$11,20,0)),"-",VLOOKUP(A9,'PENDING ORDER'!$K$4:$AD$11,20,0))</f>
        <v>17.011762418586564</v>
      </c>
      <c r="G9" s="732" t="str">
        <f>IF(ISNA(IF(D9="1ST",VLOOKUP(A9,'PENDING ORDER'!$K$4:$BK$11,53,0),VLOOKUP(A9,'PENDING ORDER'!$K$4:$BT$11,62,0))),"-",IF(D9="1ST",VLOOKUP(A9,'PENDING ORDER'!$K$4:$BK$11,53,0),VLOOKUP(A9,'PENDING ORDER'!$K$4:$BT$11,62,0)))</f>
        <v>1215mmX 25mic PE (Natural)</v>
      </c>
      <c r="H9" s="731">
        <f t="shared" si="0"/>
        <v>475.3937007874016</v>
      </c>
      <c r="I9" s="733">
        <f>IF(D9="1ST",VLOOKUP(A9,'PENDING ORDER'!$K$4:$BO$11,57,0),VLOOKUP(A9,'PENDING ORDER'!$K$4:$BX$11,66,0))</f>
        <v>2304.6</v>
      </c>
      <c r="J9" s="734" t="s">
        <v>296</v>
      </c>
      <c r="K9" s="735">
        <f t="shared" si="1"/>
        <v>1102.5000000000002</v>
      </c>
      <c r="L9" s="736">
        <f>VLOOKUP(A9,'ORDER BOOK'!I:W,15,0)</f>
        <v>46141</v>
      </c>
      <c r="M9" s="737">
        <f>IF(ISNA(VLOOKUP(A9,'PENDING ORDER'!$K$4:$AJ$11,26,0)),"-",VLOOKUP(A9,'PENDING ORDER'!$K$4:$AJ$11,26,0))</f>
        <v>0</v>
      </c>
      <c r="N9" s="738">
        <f t="shared" si="2"/>
        <v>4.2803916485747919</v>
      </c>
      <c r="O9" s="738">
        <f>VLOOKUP(A9,'PENDING ORDER'!$K$4:$P$11,6,0)/1000</f>
        <v>1</v>
      </c>
      <c r="P9" s="732"/>
      <c r="Q9" s="398">
        <f t="shared" si="5"/>
        <v>0</v>
      </c>
      <c r="R9" s="740">
        <f t="shared" si="6"/>
        <v>0.17834965202394967</v>
      </c>
      <c r="S9" s="741">
        <f>VLOOKUP(B9,'Spec Sheet (2)'!$A$4:$CU$9,99,0)</f>
        <v>0</v>
      </c>
      <c r="T9" s="742">
        <f>IF(ISNA(VLOOKUP(A9,'PENDING ORDER'!$K$4:$CC$11,71,0)),"-",VLOOKUP(A9,'PENDING ORDER'!$K$4:$CC$11,71,0))</f>
        <v>11.2</v>
      </c>
      <c r="U9" s="743">
        <f>IF(ISNA(VLOOKUP(A9,'PENDING ORDER'!$K$4:$CN$11,82,0)),"-",VLOOKUP(A9,'PENDING ORDER'!$K$4:$CN$11,82,0))</f>
        <v>26.099999999999998</v>
      </c>
      <c r="V9" s="744">
        <f>F9*W9*U9*VLOOKUP(B9,'Spec Sheet (2)'!$A$4:$FL$9,168,0)</f>
        <v>566.44192913385825</v>
      </c>
      <c r="W9" s="745">
        <f>IF(ISNA(VLOOKUP(A9,'PENDING ORDER'!$K$4:$BE$11,47,0)),"-",VLOOKUP(A9,'PENDING ORDER'!$K$4:$BE$11,47,0))</f>
        <v>1.2150000000000001</v>
      </c>
      <c r="X9" s="746">
        <f>IF(ISNA(VLOOKUP(A9,'PENDING ORDER'!$K$4:$CK$11,79,0)),"-",VLOOKUP(A9,'PENDING ORDER'!$K$4:$CK$11,79,0))</f>
        <v>50.800000000000004</v>
      </c>
      <c r="Y9" s="747">
        <f>F9*W9*X9*VLOOKUP(B9,'Spec Sheet (2)'!$A$4:$FL$9,168,0)</f>
        <v>1102.5000000000002</v>
      </c>
      <c r="Z9" s="748">
        <f>VLOOKUP(B9,'Spec Sheet (2)'!$A$4:$AI$9,35,0)</f>
        <v>23</v>
      </c>
      <c r="AA9" s="749">
        <v>150</v>
      </c>
      <c r="AB9" s="750">
        <f>VLOOKUP(A9,'PENDING ORDER'!$K$4:$CD$11,72,0)</f>
        <v>11.2</v>
      </c>
      <c r="AC9" s="741">
        <f t="shared" si="4"/>
        <v>0</v>
      </c>
      <c r="AD9" s="729" t="e">
        <f>VLOOKUP(A9,'PENDING ORDER'!#REF!,36,0)</f>
        <v>#REF!</v>
      </c>
      <c r="AE9" s="729">
        <f>VLOOKUP(A9,'PENDING ORDER'!$K$4:$AO$11,31,0)</f>
        <v>0</v>
      </c>
      <c r="AF9" s="741"/>
    </row>
    <row r="10" spans="1:32" s="751" customFormat="1" ht="14.25" customHeight="1">
      <c r="A10" s="728" t="s">
        <v>998</v>
      </c>
      <c r="B10" s="529" t="s">
        <v>1010</v>
      </c>
      <c r="C10" s="729" t="str">
        <f>VLOOKUP(A10,'ORDER BOOK'!I:K,3,0)</f>
        <v>C-5</v>
      </c>
      <c r="D10" s="730" t="s">
        <v>497</v>
      </c>
      <c r="E10" s="731">
        <f>IF(D10="2ND",VLOOKUP(A10,'PENDING ORDER'!$K$4:$CQ$11,85,0),VLOOKUP(A10,'PENDING ORDER'!$K$4:$AC$11,19,0))</f>
        <v>440.11682242990645</v>
      </c>
      <c r="F10" s="731">
        <f>IF(ISNA(VLOOKUP(A10,'PENDING ORDER'!$K$4:$AD$11,20,0)),"-",VLOOKUP(A10,'PENDING ORDER'!$K$4:$AD$11,20,0))</f>
        <v>9.9515403253721004</v>
      </c>
      <c r="G10" s="732" t="str">
        <f>IF(ISNA(IF(D10="1ST",VLOOKUP(A10,'PENDING ORDER'!$K$4:$BK$11,53,0),VLOOKUP(A10,'PENDING ORDER'!$K$4:$BT$11,62,0))),"-",IF(D10="1ST",VLOOKUP(A10,'PENDING ORDER'!$K$4:$BK$11,53,0),VLOOKUP(A10,'PENDING ORDER'!$K$4:$BT$11,62,0)))</f>
        <v>1215mmX 40mic PE (Natural)</v>
      </c>
      <c r="H10" s="731">
        <f t="shared" si="0"/>
        <v>444.95327102803742</v>
      </c>
      <c r="I10" s="733">
        <f>IF(D10="1ST",VLOOKUP(A10,'PENDING ORDER'!$K$4:$BO$11,57,0),VLOOKUP(A10,'PENDING ORDER'!$K$4:$BX$11,66,0))</f>
        <v>109.2</v>
      </c>
      <c r="J10" s="734" t="s">
        <v>217</v>
      </c>
      <c r="K10" s="735">
        <f t="shared" si="1"/>
        <v>950.90625000000011</v>
      </c>
      <c r="L10" s="736">
        <f>VLOOKUP(A10,'ORDER BOOK'!I:W,15,0)</f>
        <v>46141</v>
      </c>
      <c r="M10" s="737">
        <f>IF(ISNA(VLOOKUP(A10,'PENDING ORDER'!$K$4:$AJ$11,26,0)),"-",VLOOKUP(A10,'PENDING ORDER'!$K$4:$AJ$11,26,0))</f>
        <v>0</v>
      </c>
      <c r="N10" s="738">
        <f t="shared" si="2"/>
        <v>2.7114534056382444</v>
      </c>
      <c r="O10" s="738">
        <f>VLOOKUP(A10,'PENDING ORDER'!$K$4:$P$11,6,0)/1000</f>
        <v>0.86250000000000004</v>
      </c>
      <c r="P10" s="732"/>
      <c r="Q10" s="398">
        <f t="shared" si="5"/>
        <v>0.17834965202394967</v>
      </c>
      <c r="R10" s="740">
        <f t="shared" si="6"/>
        <v>0.29132687725887652</v>
      </c>
      <c r="S10" s="741">
        <f>VLOOKUP(B10,'Spec Sheet (2)'!$A$4:$CU$9,99,0)</f>
        <v>0</v>
      </c>
      <c r="T10" s="742">
        <f>IF(ISNA(VLOOKUP(A10,'PENDING ORDER'!$K$4:$CC$11,71,0)),"-",VLOOKUP(A10,'PENDING ORDER'!$K$4:$CC$11,71,0))</f>
        <v>16.799999999999997</v>
      </c>
      <c r="U10" s="743">
        <f>IF(ISNA(VLOOKUP(A10,'PENDING ORDER'!$K$4:$CN$11,82,0)),"-",VLOOKUP(A10,'PENDING ORDER'!$K$4:$CN$11,82,0))</f>
        <v>36.399999999999991</v>
      </c>
      <c r="V10" s="744">
        <f>F10*W10*U10*VLOOKUP(B10,'Spec Sheet (2)'!$A$4:$FL$9,168,0)</f>
        <v>462.12266355140179</v>
      </c>
      <c r="W10" s="745">
        <f>IF(ISNA(VLOOKUP(A10,'PENDING ORDER'!$K$4:$BE$11,47,0)),"-",VLOOKUP(A10,'PENDING ORDER'!$K$4:$BE$11,47,0))</f>
        <v>1.2150000000000001</v>
      </c>
      <c r="X10" s="746">
        <f>IF(ISNA(VLOOKUP(A10,'PENDING ORDER'!$K$4:$CK$11,79,0)),"-",VLOOKUP(A10,'PENDING ORDER'!$K$4:$CK$11,79,0))</f>
        <v>74.900000000000006</v>
      </c>
      <c r="Y10" s="747">
        <f>F10*W10*X10*VLOOKUP(B10,'Spec Sheet (2)'!$A$4:$FL$9,168,0)</f>
        <v>950.90625000000011</v>
      </c>
      <c r="Z10" s="748">
        <f>VLOOKUP(B10,'Spec Sheet (2)'!$A$4:$AI$9,35,0)</f>
        <v>36.800000000000004</v>
      </c>
      <c r="AA10" s="749">
        <v>150</v>
      </c>
      <c r="AB10" s="750">
        <f>VLOOKUP(A10,'PENDING ORDER'!$K$4:$CD$11,72,0)</f>
        <v>16.799999999999997</v>
      </c>
      <c r="AC10" s="741">
        <f t="shared" si="4"/>
        <v>0</v>
      </c>
      <c r="AD10" s="729" t="e">
        <f>VLOOKUP(A10,'PENDING ORDER'!#REF!,36,0)</f>
        <v>#REF!</v>
      </c>
      <c r="AE10" s="729">
        <f>VLOOKUP(A10,'PENDING ORDER'!$K$4:$AO$11,31,0)</f>
        <v>0</v>
      </c>
      <c r="AF10" s="741"/>
    </row>
    <row r="11" spans="1:32" s="751" customFormat="1" ht="14.25" customHeight="1">
      <c r="A11" s="728"/>
      <c r="B11" s="529"/>
      <c r="C11" s="729" t="e">
        <f>VLOOKUP(A11,'ORDER BOOK'!I:K,3,0)</f>
        <v>#N/A</v>
      </c>
      <c r="D11" s="730" t="s">
        <v>497</v>
      </c>
      <c r="E11" s="731" t="e">
        <f>IF(D11="2ND",VLOOKUP(A11,'PENDING ORDER'!$K$4:$CQ$11,85,0),VLOOKUP(A11,'PENDING ORDER'!$K$4:$AC$11,19,0))</f>
        <v>#N/A</v>
      </c>
      <c r="F11" s="731" t="str">
        <f>IF(ISNA(VLOOKUP(A11,'PENDING ORDER'!$K$4:$AD$11,20,0)),"-",VLOOKUP(A11,'PENDING ORDER'!$K$4:$AD$11,20,0))</f>
        <v>-</v>
      </c>
      <c r="G11" s="732" t="str">
        <f>IF(ISNA(IF(D11="1ST",VLOOKUP(A11,'PENDING ORDER'!$K$4:$BK$11,53,0),VLOOKUP(A11,'PENDING ORDER'!$K$4:$BT$11,62,0))),"-",IF(D11="1ST",VLOOKUP(A11,'PENDING ORDER'!$K$4:$BK$11,53,0),VLOOKUP(A11,'PENDING ORDER'!$K$4:$BT$11,62,0)))</f>
        <v>-</v>
      </c>
      <c r="H11" s="731" t="e">
        <f t="shared" ref="H11" si="7">IF(D11="1ST",F11*W11*AB11,F11*W11*Z11)</f>
        <v>#VALUE!</v>
      </c>
      <c r="I11" s="733" t="e">
        <f>IF(D11="1ST",VLOOKUP(A11,'PENDING ORDER'!$K$4:$BO$11,57,0),VLOOKUP(A11,'PENDING ORDER'!$K$4:$BX$11,66,0))</f>
        <v>#N/A</v>
      </c>
      <c r="J11" s="734" t="s">
        <v>296</v>
      </c>
      <c r="K11" s="735" t="e">
        <f t="shared" ref="K11" si="8">IF(D11="1ST",V11,Y11)</f>
        <v>#VALUE!</v>
      </c>
      <c r="L11" s="736" t="e">
        <f>VLOOKUP(A11,'ORDER BOOK'!I:W,15,0)</f>
        <v>#N/A</v>
      </c>
      <c r="M11" s="737" t="str">
        <f>IF(ISNA(VLOOKUP(A11,'PENDING ORDER'!$K$4:$AJ$11,26,0)),"-",VLOOKUP(A11,'PENDING ORDER'!$K$4:$AJ$11,26,0))</f>
        <v>-</v>
      </c>
      <c r="N11" s="738" t="e">
        <f t="shared" ref="N11" si="9">(F11*1000*2/AA11/60)+0.5</f>
        <v>#VALUE!</v>
      </c>
      <c r="O11" s="738" t="e">
        <f>VLOOKUP(A11,'PENDING ORDER'!$K$4:$P$11,6,0)/1000</f>
        <v>#N/A</v>
      </c>
      <c r="P11" s="732"/>
      <c r="Q11" s="398">
        <f t="shared" si="5"/>
        <v>0.29132687725887652</v>
      </c>
      <c r="R11" s="740" t="e">
        <f t="shared" ref="R11" si="10">Q11+N11/24</f>
        <v>#VALUE!</v>
      </c>
      <c r="S11" s="741" t="e">
        <f>VLOOKUP(B11,'Spec Sheet (2)'!$A$4:$CU$9,99,0)</f>
        <v>#N/A</v>
      </c>
      <c r="T11" s="742" t="str">
        <f>IF(ISNA(VLOOKUP(A11,'PENDING ORDER'!$K$4:$CC$11,71,0)),"-",VLOOKUP(A11,'PENDING ORDER'!$K$4:$CC$11,71,0))</f>
        <v>-</v>
      </c>
      <c r="U11" s="743" t="str">
        <f>IF(ISNA(VLOOKUP(A11,'PENDING ORDER'!$K$4:$CN$11,82,0)),"-",VLOOKUP(A11,'PENDING ORDER'!$K$4:$CN$11,82,0))</f>
        <v>-</v>
      </c>
      <c r="V11" s="744" t="e">
        <f>F11*W11*U11*VLOOKUP(B11,'Spec Sheet (2)'!$A$4:$FL$9,168,0)</f>
        <v>#VALUE!</v>
      </c>
      <c r="W11" s="745" t="str">
        <f>IF(ISNA(VLOOKUP(A11,'PENDING ORDER'!$K$4:$BE$11,47,0)),"-",VLOOKUP(A11,'PENDING ORDER'!$K$4:$BE$11,47,0))</f>
        <v>-</v>
      </c>
      <c r="X11" s="746" t="str">
        <f>IF(ISNA(VLOOKUP(A11,'PENDING ORDER'!$K$4:$CK$11,79,0)),"-",VLOOKUP(A11,'PENDING ORDER'!$K$4:$CK$11,79,0))</f>
        <v>-</v>
      </c>
      <c r="Y11" s="747" t="e">
        <f>F11*W11*X11*VLOOKUP(B11,'Spec Sheet (2)'!$A$4:$FL$9,168,0)</f>
        <v>#VALUE!</v>
      </c>
      <c r="Z11" s="748" t="e">
        <f>VLOOKUP(B11,'Spec Sheet (2)'!$A$4:$AI$9,35,0)</f>
        <v>#N/A</v>
      </c>
      <c r="AA11" s="749">
        <v>150</v>
      </c>
      <c r="AB11" s="750" t="e">
        <f>VLOOKUP(A11,'PENDING ORDER'!$K$4:$CD$11,72,0)</f>
        <v>#N/A</v>
      </c>
      <c r="AC11" s="741" t="str">
        <f t="shared" ref="AC11" si="11">M11</f>
        <v>-</v>
      </c>
      <c r="AD11" s="729" t="e">
        <f>VLOOKUP(A11,'PENDING ORDER'!#REF!,36,0)</f>
        <v>#REF!</v>
      </c>
      <c r="AE11" s="729" t="e">
        <f>VLOOKUP(A11,'PENDING ORDER'!$K$4:$AO$11,31,0)</f>
        <v>#N/A</v>
      </c>
      <c r="AF11" s="741"/>
    </row>
  </sheetData>
  <sortState xmlns:xlrd2="http://schemas.microsoft.com/office/spreadsheetml/2017/richdata2" ref="A4:AF109">
    <sortCondition sortBy="cellColor" ref="B86:B88" dxfId="234"/>
  </sortState>
  <mergeCells count="2">
    <mergeCell ref="L1:P1"/>
    <mergeCell ref="I1:K1"/>
  </mergeCells>
  <conditionalFormatting sqref="A4:A7">
    <cfRule type="duplicateValues" dxfId="18" priority="3225317"/>
    <cfRule type="duplicateValues" dxfId="17" priority="3225318"/>
    <cfRule type="duplicateValues" dxfId="16" priority="3225321"/>
    <cfRule type="duplicateValues" dxfId="15" priority="3225323"/>
    <cfRule type="duplicateValues" dxfId="14" priority="3225324"/>
    <cfRule type="duplicateValues" dxfId="13" priority="3225325"/>
  </conditionalFormatting>
  <conditionalFormatting sqref="A8">
    <cfRule type="duplicateValues" dxfId="12" priority="1295588"/>
    <cfRule type="duplicateValues" dxfId="11" priority="1295589"/>
    <cfRule type="duplicateValues" dxfId="10" priority="1295590"/>
    <cfRule type="duplicateValues" dxfId="9" priority="1295591"/>
    <cfRule type="duplicateValues" dxfId="8" priority="1295592"/>
    <cfRule type="duplicateValues" dxfId="7" priority="1295593"/>
    <cfRule type="duplicateValues" dxfId="6" priority="1295594" stopIfTrue="1"/>
  </conditionalFormatting>
  <conditionalFormatting sqref="A9:A11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tabColor indexed="10"/>
    <pageSetUpPr fitToPage="1"/>
  </sheetPr>
  <dimension ref="A1:GS19"/>
  <sheetViews>
    <sheetView workbookViewId="0">
      <pane xSplit="1" ySplit="3" topLeftCell="B4" activePane="bottomRight" state="frozen"/>
      <selection activeCell="L44" sqref="L44"/>
      <selection pane="topRight" activeCell="L44" sqref="L44"/>
      <selection pane="bottomLeft" activeCell="L44" sqref="L44"/>
      <selection pane="bottomRight"/>
    </sheetView>
  </sheetViews>
  <sheetFormatPr defaultColWidth="9.140625" defaultRowHeight="15.75"/>
  <cols>
    <col min="1" max="1" width="68.7109375" style="264" customWidth="1"/>
    <col min="2" max="2" width="8.42578125" style="373" customWidth="1"/>
    <col min="3" max="3" width="6.28515625" style="265" customWidth="1"/>
    <col min="4" max="4" width="14" style="361" customWidth="1"/>
    <col min="5" max="5" width="5.140625" style="265" customWidth="1"/>
    <col min="6" max="6" width="14.5703125" style="134" customWidth="1"/>
    <col min="7" max="7" width="11.140625" style="146" customWidth="1"/>
    <col min="8" max="8" width="17.28515625" style="146" customWidth="1"/>
    <col min="9" max="9" width="7" style="266" customWidth="1"/>
    <col min="10" max="10" width="6" style="146" customWidth="1"/>
    <col min="11" max="11" width="8" style="267" customWidth="1"/>
    <col min="12" max="12" width="10.28515625" style="146" customWidth="1"/>
    <col min="13" max="13" width="11.5703125" style="146" customWidth="1"/>
    <col min="14" max="14" width="7.28515625" style="146" customWidth="1"/>
    <col min="15" max="15" width="27.85546875" style="134" customWidth="1"/>
    <col min="16" max="16" width="4.42578125" style="268" customWidth="1"/>
    <col min="17" max="17" width="14" style="269" customWidth="1"/>
    <col min="18" max="18" width="8.7109375" style="146" customWidth="1"/>
    <col min="19" max="19" width="28.140625" style="134" customWidth="1"/>
    <col min="20" max="20" width="8" style="270" customWidth="1"/>
    <col min="21" max="21" width="5.7109375" style="146" customWidth="1"/>
    <col min="22" max="22" width="7.7109375" style="146" customWidth="1"/>
    <col min="23" max="23" width="11.140625" style="146" customWidth="1"/>
    <col min="24" max="24" width="9.140625" style="146" customWidth="1"/>
    <col min="25" max="25" width="10.7109375" style="146" customWidth="1"/>
    <col min="26" max="26" width="35.42578125" style="134" customWidth="1"/>
    <col min="27" max="27" width="11.140625" style="146" customWidth="1"/>
    <col min="28" max="28" width="9.140625" style="146" customWidth="1"/>
    <col min="29" max="29" width="10.7109375" style="146" customWidth="1"/>
    <col min="30" max="30" width="12.85546875" style="146" customWidth="1"/>
    <col min="31" max="31" width="9.140625" style="271" customWidth="1"/>
    <col min="32" max="32" width="15" style="146" customWidth="1"/>
    <col min="33" max="35" width="9.140625" style="146" customWidth="1"/>
    <col min="36" max="36" width="19.140625" style="134" customWidth="1"/>
    <col min="37" max="37" width="28.42578125" style="134" customWidth="1"/>
    <col min="38" max="38" width="11" style="272" customWidth="1"/>
    <col min="39" max="39" width="9.85546875" style="273" customWidth="1"/>
    <col min="40" max="40" width="10.28515625" style="273" customWidth="1"/>
    <col min="41" max="41" width="15" style="146" hidden="1" customWidth="1"/>
    <col min="42" max="45" width="9.140625" style="146" hidden="1" customWidth="1"/>
    <col min="46" max="46" width="25.140625" style="134" hidden="1" customWidth="1"/>
    <col min="47" max="47" width="6.140625" style="146" hidden="1" customWidth="1"/>
    <col min="48" max="48" width="11.7109375" style="134" hidden="1" customWidth="1"/>
    <col min="49" max="49" width="0" style="267" hidden="1" customWidth="1"/>
    <col min="50" max="50" width="9.85546875" style="267" hidden="1" customWidth="1"/>
    <col min="51" max="51" width="0" style="267" hidden="1" customWidth="1"/>
    <col min="52" max="52" width="18" style="274" hidden="1" customWidth="1"/>
    <col min="53" max="53" width="9.140625" style="271"/>
    <col min="54" max="54" width="9.140625" style="275"/>
    <col min="55" max="56" width="9.140625" style="146"/>
    <col min="57" max="57" width="9.140625" style="271"/>
    <col min="58" max="59" width="9.140625" style="146"/>
    <col min="60" max="77" width="9.140625" style="146" hidden="1" customWidth="1"/>
    <col min="78" max="78" width="18.5703125" style="146" hidden="1" customWidth="1"/>
    <col min="79" max="94" width="9.140625" style="146" hidden="1" customWidth="1"/>
    <col min="95" max="95" width="0.28515625" style="146" hidden="1" customWidth="1"/>
    <col min="96" max="96" width="7.42578125" style="146" hidden="1" customWidth="1"/>
    <col min="97" max="97" width="10.140625" style="146" hidden="1" customWidth="1"/>
    <col min="98" max="98" width="9.85546875" style="146" customWidth="1"/>
    <col min="99" max="99" width="23.85546875" style="602" customWidth="1"/>
    <col min="100" max="100" width="9.7109375" style="146" customWidth="1"/>
    <col min="101" max="107" width="9.140625" style="146"/>
    <col min="108" max="108" width="0" style="146" hidden="1" customWidth="1"/>
    <col min="109" max="133" width="9.140625" style="146" hidden="1" customWidth="1"/>
    <col min="134" max="137" width="9.140625" style="146"/>
    <col min="138" max="138" width="10.42578125" style="276" bestFit="1" customWidth="1"/>
    <col min="139" max="139" width="23.85546875" style="146" customWidth="1"/>
    <col min="140" max="140" width="9.140625" style="267"/>
    <col min="141" max="141" width="9.140625" style="270"/>
    <col min="142" max="142" width="9.140625" style="277"/>
    <col min="143" max="143" width="9.140625" style="146" hidden="1" customWidth="1"/>
    <col min="144" max="144" width="14.85546875" style="146" hidden="1" customWidth="1"/>
    <col min="145" max="148" width="9.140625" style="146" hidden="1" customWidth="1"/>
    <col min="149" max="149" width="4.5703125" style="146" hidden="1" customWidth="1"/>
    <col min="150" max="150" width="11.85546875" style="146" hidden="1" customWidth="1"/>
    <col min="151" max="151" width="9.140625" style="146" hidden="1" customWidth="1"/>
    <col min="152" max="152" width="12.42578125" style="146" hidden="1" customWidth="1"/>
    <col min="153" max="158" width="9.140625" style="146" hidden="1" customWidth="1"/>
    <col min="159" max="162" width="9.140625" style="146"/>
    <col min="163" max="163" width="11.85546875" style="146" customWidth="1"/>
    <col min="164" max="166" width="9.140625" style="146"/>
    <col min="167" max="167" width="13.5703125" style="146" customWidth="1"/>
    <col min="168" max="168" width="9.140625" style="278"/>
    <col min="169" max="174" width="9.140625" style="146"/>
    <col min="175" max="175" width="14.28515625" style="146" customWidth="1"/>
    <col min="176" max="176" width="13.42578125" style="146" customWidth="1"/>
    <col min="177" max="184" width="9.140625" style="146" hidden="1" customWidth="1"/>
    <col min="185" max="185" width="9.140625" style="267"/>
    <col min="186" max="186" width="19.5703125" style="146" customWidth="1"/>
    <col min="187" max="187" width="15.140625" style="134" customWidth="1"/>
    <col min="188" max="188" width="9.140625" style="277"/>
    <col min="189" max="189" width="13.140625" style="303" customWidth="1"/>
    <col min="190" max="190" width="8.85546875" style="277" customWidth="1"/>
    <col min="191" max="191" width="9.140625" style="277"/>
    <col min="192" max="192" width="12.85546875" style="277" customWidth="1"/>
    <col min="193" max="193" width="9.140625" style="277"/>
    <col min="194" max="194" width="9.140625" style="146"/>
    <col min="195" max="195" width="9.140625" style="386"/>
    <col min="196" max="16384" width="9.140625" style="146"/>
  </cols>
  <sheetData>
    <row r="1" spans="1:201" s="267" customFormat="1">
      <c r="A1" s="147" t="s">
        <v>377</v>
      </c>
      <c r="B1" s="374">
        <v>2</v>
      </c>
      <c r="C1" s="51">
        <v>3</v>
      </c>
      <c r="D1" s="359">
        <v>4</v>
      </c>
      <c r="E1" s="7">
        <v>5</v>
      </c>
      <c r="F1" s="51">
        <v>6</v>
      </c>
      <c r="G1" s="7">
        <v>7</v>
      </c>
      <c r="H1" s="7">
        <v>8</v>
      </c>
      <c r="I1" s="243" t="s">
        <v>225</v>
      </c>
      <c r="J1" s="7">
        <v>10</v>
      </c>
      <c r="K1" s="7">
        <v>11</v>
      </c>
      <c r="L1" s="7">
        <v>12</v>
      </c>
      <c r="M1" s="7">
        <v>13</v>
      </c>
      <c r="N1" s="7">
        <v>14</v>
      </c>
      <c r="O1" s="7">
        <v>15</v>
      </c>
      <c r="P1" s="148">
        <v>16</v>
      </c>
      <c r="Q1" s="11">
        <v>17</v>
      </c>
      <c r="R1" s="7">
        <v>18</v>
      </c>
      <c r="S1" s="7">
        <v>19</v>
      </c>
      <c r="T1" s="240">
        <v>20</v>
      </c>
      <c r="U1" s="7">
        <v>21</v>
      </c>
      <c r="V1" s="7">
        <v>22</v>
      </c>
      <c r="W1" s="7">
        <v>23</v>
      </c>
      <c r="X1" s="7">
        <v>24</v>
      </c>
      <c r="Y1" s="7">
        <v>25</v>
      </c>
      <c r="Z1" s="7">
        <v>26</v>
      </c>
      <c r="AA1" s="7">
        <v>27</v>
      </c>
      <c r="AB1" s="7">
        <v>28</v>
      </c>
      <c r="AC1" s="7">
        <v>29</v>
      </c>
      <c r="AD1" s="7">
        <v>30</v>
      </c>
      <c r="AE1" s="28">
        <v>31</v>
      </c>
      <c r="AF1" s="7">
        <v>32</v>
      </c>
      <c r="AG1" s="7">
        <v>33</v>
      </c>
      <c r="AH1" s="7">
        <v>34</v>
      </c>
      <c r="AI1" s="7">
        <v>35</v>
      </c>
      <c r="AJ1" s="7">
        <v>36</v>
      </c>
      <c r="AK1" s="7">
        <v>37</v>
      </c>
      <c r="AL1" s="122">
        <v>38</v>
      </c>
      <c r="AM1" s="150">
        <v>39</v>
      </c>
      <c r="AN1" s="150">
        <v>40</v>
      </c>
      <c r="AO1" s="7">
        <v>41</v>
      </c>
      <c r="AP1" s="7">
        <v>42</v>
      </c>
      <c r="AQ1" s="7">
        <v>43</v>
      </c>
      <c r="AR1" s="7">
        <v>44</v>
      </c>
      <c r="AS1" s="7">
        <v>45</v>
      </c>
      <c r="AT1" s="7">
        <v>46</v>
      </c>
      <c r="AU1" s="7">
        <v>47</v>
      </c>
      <c r="AV1" s="51">
        <v>48</v>
      </c>
      <c r="AW1" s="7">
        <v>49</v>
      </c>
      <c r="AX1" s="7">
        <v>50</v>
      </c>
      <c r="AY1" s="7">
        <v>51</v>
      </c>
      <c r="AZ1" s="7">
        <v>52</v>
      </c>
      <c r="BA1" s="28">
        <v>53</v>
      </c>
      <c r="BB1" s="52">
        <v>54</v>
      </c>
      <c r="BC1" s="7">
        <v>55</v>
      </c>
      <c r="BD1" s="7">
        <v>56</v>
      </c>
      <c r="BE1" s="28">
        <v>57</v>
      </c>
      <c r="BF1" s="7">
        <v>58</v>
      </c>
      <c r="BG1" s="7">
        <v>59</v>
      </c>
      <c r="BH1" s="7">
        <v>60</v>
      </c>
      <c r="BI1" s="7">
        <v>61</v>
      </c>
      <c r="BJ1" s="7">
        <v>62</v>
      </c>
      <c r="BK1" s="7">
        <v>63</v>
      </c>
      <c r="BL1" s="7">
        <v>64</v>
      </c>
      <c r="BM1" s="7">
        <v>65</v>
      </c>
      <c r="BN1" s="7">
        <v>66</v>
      </c>
      <c r="BO1" s="7">
        <v>67</v>
      </c>
      <c r="BP1" s="7">
        <v>68</v>
      </c>
      <c r="BQ1" s="7">
        <v>69</v>
      </c>
      <c r="BR1" s="7">
        <v>70</v>
      </c>
      <c r="BS1" s="7">
        <v>71</v>
      </c>
      <c r="BT1" s="7">
        <v>72</v>
      </c>
      <c r="BU1" s="7">
        <v>73</v>
      </c>
      <c r="BV1" s="7">
        <v>74</v>
      </c>
      <c r="BW1" s="7">
        <v>75</v>
      </c>
      <c r="BX1" s="7">
        <v>76</v>
      </c>
      <c r="BY1" s="7">
        <v>77</v>
      </c>
      <c r="BZ1" s="7">
        <v>78</v>
      </c>
      <c r="CA1" s="7">
        <v>79</v>
      </c>
      <c r="CB1" s="7">
        <v>80</v>
      </c>
      <c r="CC1" s="7">
        <v>81</v>
      </c>
      <c r="CD1" s="7">
        <v>82</v>
      </c>
      <c r="CE1" s="7">
        <v>83</v>
      </c>
      <c r="CF1" s="7">
        <v>84</v>
      </c>
      <c r="CG1" s="7">
        <v>85</v>
      </c>
      <c r="CH1" s="7">
        <v>86</v>
      </c>
      <c r="CI1" s="7">
        <v>87</v>
      </c>
      <c r="CJ1" s="7">
        <v>88</v>
      </c>
      <c r="CK1" s="7">
        <v>89</v>
      </c>
      <c r="CL1" s="7">
        <v>90</v>
      </c>
      <c r="CM1" s="7">
        <v>91</v>
      </c>
      <c r="CN1" s="7">
        <v>92</v>
      </c>
      <c r="CO1" s="7">
        <v>93</v>
      </c>
      <c r="CP1" s="7">
        <v>94</v>
      </c>
      <c r="CQ1" s="7">
        <v>95</v>
      </c>
      <c r="CR1" s="166">
        <v>96</v>
      </c>
      <c r="CS1" s="166">
        <v>97</v>
      </c>
      <c r="CT1" s="7">
        <v>98</v>
      </c>
      <c r="CU1" s="600"/>
      <c r="CV1" s="7">
        <v>100</v>
      </c>
      <c r="CW1" s="7">
        <v>101</v>
      </c>
      <c r="CX1" s="7">
        <v>102</v>
      </c>
      <c r="CY1" s="7">
        <v>103</v>
      </c>
      <c r="CZ1" s="7">
        <v>104</v>
      </c>
      <c r="DA1" s="7">
        <v>105</v>
      </c>
      <c r="DB1" s="7">
        <v>106</v>
      </c>
      <c r="DC1" s="7">
        <v>107</v>
      </c>
      <c r="DD1" s="7">
        <v>108</v>
      </c>
      <c r="DE1" s="7">
        <v>109</v>
      </c>
      <c r="DF1" s="7">
        <v>110</v>
      </c>
      <c r="DG1" s="7">
        <v>111</v>
      </c>
      <c r="DH1" s="7">
        <v>112</v>
      </c>
      <c r="DI1" s="7">
        <v>113</v>
      </c>
      <c r="DJ1" s="7">
        <v>114</v>
      </c>
      <c r="DK1" s="7">
        <v>115</v>
      </c>
      <c r="DL1" s="7">
        <v>116</v>
      </c>
      <c r="DM1" s="7">
        <v>117</v>
      </c>
      <c r="DN1" s="7">
        <v>118</v>
      </c>
      <c r="DO1" s="7">
        <v>119</v>
      </c>
      <c r="DP1" s="7">
        <v>120</v>
      </c>
      <c r="DQ1" s="7">
        <v>121</v>
      </c>
      <c r="DR1" s="7">
        <v>122</v>
      </c>
      <c r="DS1" s="7">
        <v>123</v>
      </c>
      <c r="DT1" s="7">
        <v>124</v>
      </c>
      <c r="DU1" s="7">
        <v>125</v>
      </c>
      <c r="DV1" s="7">
        <v>126</v>
      </c>
      <c r="DW1" s="7">
        <v>127</v>
      </c>
      <c r="DX1" s="7">
        <v>128</v>
      </c>
      <c r="DY1" s="7">
        <v>129</v>
      </c>
      <c r="DZ1" s="7">
        <v>130</v>
      </c>
      <c r="EA1" s="7">
        <v>131</v>
      </c>
      <c r="EB1" s="7">
        <v>132</v>
      </c>
      <c r="EC1" s="7">
        <v>133</v>
      </c>
      <c r="ED1" s="7">
        <v>134</v>
      </c>
      <c r="EE1" s="7">
        <v>135</v>
      </c>
      <c r="EF1" s="7">
        <v>136</v>
      </c>
      <c r="EG1" s="7">
        <v>137</v>
      </c>
      <c r="EH1" s="28">
        <v>138</v>
      </c>
      <c r="EI1" s="7">
        <v>139</v>
      </c>
      <c r="EJ1" s="7">
        <v>140</v>
      </c>
      <c r="EK1" s="240">
        <v>141</v>
      </c>
      <c r="EL1" s="53">
        <v>142</v>
      </c>
      <c r="EM1" s="7">
        <v>143</v>
      </c>
      <c r="EN1" s="7">
        <v>144</v>
      </c>
      <c r="EO1" s="7">
        <v>145</v>
      </c>
      <c r="EP1" s="7">
        <v>146</v>
      </c>
      <c r="EQ1" s="7">
        <v>147</v>
      </c>
      <c r="ER1" s="7">
        <v>148</v>
      </c>
      <c r="ES1" s="7">
        <v>149</v>
      </c>
      <c r="ET1" s="7">
        <v>150</v>
      </c>
      <c r="EU1" s="7">
        <v>151</v>
      </c>
      <c r="EV1" s="7">
        <v>152</v>
      </c>
      <c r="EW1" s="7">
        <v>153</v>
      </c>
      <c r="EX1" s="7">
        <v>154</v>
      </c>
      <c r="EY1" s="7">
        <v>155</v>
      </c>
      <c r="EZ1" s="7">
        <v>156</v>
      </c>
      <c r="FA1" s="7">
        <v>157</v>
      </c>
      <c r="FB1" s="7">
        <v>158</v>
      </c>
      <c r="FC1" s="7">
        <v>159</v>
      </c>
      <c r="FD1" s="7">
        <v>160</v>
      </c>
      <c r="FE1" s="7">
        <v>161</v>
      </c>
      <c r="FF1" s="7">
        <v>162</v>
      </c>
      <c r="FG1" s="7">
        <v>163</v>
      </c>
      <c r="FH1" s="7">
        <v>164</v>
      </c>
      <c r="FI1" s="7">
        <v>165</v>
      </c>
      <c r="FJ1" s="7">
        <v>166</v>
      </c>
      <c r="FK1" s="7">
        <v>167</v>
      </c>
      <c r="FL1" s="54">
        <v>168</v>
      </c>
      <c r="FM1" s="7">
        <v>169</v>
      </c>
      <c r="FN1" s="7">
        <v>170</v>
      </c>
      <c r="FO1" s="7">
        <v>171</v>
      </c>
      <c r="FP1" s="7">
        <v>172</v>
      </c>
      <c r="FQ1" s="7">
        <v>173</v>
      </c>
      <c r="FR1" s="7">
        <v>174</v>
      </c>
      <c r="FS1" s="7">
        <v>175</v>
      </c>
      <c r="FT1" s="7">
        <v>176</v>
      </c>
      <c r="FU1" s="7">
        <v>177</v>
      </c>
      <c r="FV1" s="7">
        <v>178</v>
      </c>
      <c r="FW1" s="7">
        <v>179</v>
      </c>
      <c r="FX1" s="7">
        <v>180</v>
      </c>
      <c r="FY1" s="7">
        <v>181</v>
      </c>
      <c r="FZ1" s="17">
        <v>182</v>
      </c>
      <c r="GA1" s="17">
        <v>183</v>
      </c>
      <c r="GB1" s="7">
        <v>184</v>
      </c>
      <c r="GC1" s="7">
        <v>185</v>
      </c>
      <c r="GD1" s="7">
        <v>186</v>
      </c>
      <c r="GE1" s="252">
        <v>187</v>
      </c>
      <c r="GF1" s="53">
        <v>188</v>
      </c>
      <c r="GG1" s="300">
        <v>189</v>
      </c>
      <c r="GH1" s="53">
        <v>190</v>
      </c>
      <c r="GI1" s="53">
        <v>191</v>
      </c>
      <c r="GJ1" s="53">
        <v>192</v>
      </c>
      <c r="GK1" s="53">
        <v>193</v>
      </c>
      <c r="GL1" s="7">
        <v>194</v>
      </c>
      <c r="GM1" s="383">
        <v>195</v>
      </c>
      <c r="GN1" s="281">
        <v>196</v>
      </c>
      <c r="GO1" s="281">
        <v>197</v>
      </c>
      <c r="GP1" s="281">
        <v>198</v>
      </c>
      <c r="GQ1" s="281">
        <v>199</v>
      </c>
      <c r="GR1" s="281">
        <v>200</v>
      </c>
      <c r="GS1" s="281">
        <v>201</v>
      </c>
    </row>
    <row r="2" spans="1:201" s="282" customFormat="1" ht="16.5" customHeight="1">
      <c r="A2" s="94" t="s">
        <v>146</v>
      </c>
      <c r="B2" s="375"/>
      <c r="C2" s="55"/>
      <c r="D2" s="358"/>
      <c r="E2" s="55" t="s">
        <v>106</v>
      </c>
      <c r="F2" s="56" t="s">
        <v>9</v>
      </c>
      <c r="G2" s="57"/>
      <c r="H2" s="57"/>
      <c r="I2" s="244"/>
      <c r="J2" s="57"/>
      <c r="K2" s="27"/>
      <c r="L2" s="57"/>
      <c r="M2" s="57"/>
      <c r="N2" s="57"/>
      <c r="O2" s="58" t="s">
        <v>106</v>
      </c>
      <c r="P2" s="149" t="s">
        <v>10</v>
      </c>
      <c r="Q2" s="59"/>
      <c r="R2" s="60"/>
      <c r="S2" s="60"/>
      <c r="T2" s="246"/>
      <c r="U2" s="60"/>
      <c r="V2" s="60"/>
      <c r="W2" s="60"/>
      <c r="X2" s="60" t="s">
        <v>105</v>
      </c>
      <c r="Y2" s="60"/>
      <c r="Z2" s="61" t="s">
        <v>106</v>
      </c>
      <c r="AA2" s="60"/>
      <c r="AB2" s="62" t="s">
        <v>11</v>
      </c>
      <c r="AC2" s="1"/>
      <c r="AD2" s="1"/>
      <c r="AE2" s="63"/>
      <c r="AF2" s="1"/>
      <c r="AG2" s="1"/>
      <c r="AH2" s="1"/>
      <c r="AI2" s="1"/>
      <c r="AJ2" s="64" t="s">
        <v>105</v>
      </c>
      <c r="AK2" s="64" t="s">
        <v>105</v>
      </c>
      <c r="AL2" s="122"/>
      <c r="AM2" s="151"/>
      <c r="AN2" s="151"/>
      <c r="AO2" s="110"/>
      <c r="AP2" s="110"/>
      <c r="AQ2" s="110"/>
      <c r="AR2" s="110"/>
      <c r="AS2" s="110"/>
      <c r="AT2" s="118"/>
      <c r="AU2" s="112"/>
      <c r="AV2" s="64"/>
      <c r="AW2" s="65"/>
      <c r="AX2" s="66" t="s">
        <v>31</v>
      </c>
      <c r="AY2" s="65"/>
      <c r="AZ2" s="67"/>
      <c r="BA2" s="68"/>
      <c r="BB2" s="69" t="s">
        <v>31</v>
      </c>
      <c r="BC2" s="70"/>
      <c r="BD2" s="70"/>
      <c r="BE2" s="68"/>
      <c r="BF2" s="71" t="s">
        <v>31</v>
      </c>
      <c r="BG2" s="70" t="s">
        <v>105</v>
      </c>
      <c r="BH2" s="110"/>
      <c r="BI2" s="111"/>
      <c r="BJ2" s="110"/>
      <c r="BK2" s="110"/>
      <c r="BL2" s="110"/>
      <c r="BM2" s="110"/>
      <c r="BN2" s="110"/>
      <c r="BO2" s="110"/>
      <c r="BP2" s="112"/>
      <c r="BQ2" s="110"/>
      <c r="BR2" s="110"/>
      <c r="BS2" s="110"/>
      <c r="BT2" s="110"/>
      <c r="BU2" s="110"/>
      <c r="BV2" s="110"/>
      <c r="BW2" s="112"/>
      <c r="BX2" s="110"/>
      <c r="BY2" s="110"/>
      <c r="BZ2" s="110"/>
      <c r="CA2" s="110"/>
      <c r="CB2" s="110"/>
      <c r="CC2" s="110"/>
      <c r="CD2" s="112"/>
      <c r="CE2" s="110"/>
      <c r="CF2" s="110"/>
      <c r="CG2" s="110"/>
      <c r="CH2" s="110"/>
      <c r="CI2" s="110"/>
      <c r="CJ2" s="110"/>
      <c r="CK2" s="110"/>
      <c r="CL2" s="112"/>
      <c r="CM2" s="112"/>
      <c r="CN2" s="110"/>
      <c r="CO2" s="110"/>
      <c r="CP2" s="110"/>
      <c r="CQ2" s="110"/>
      <c r="CR2" s="167"/>
      <c r="CS2" s="167"/>
      <c r="CT2" s="110"/>
      <c r="CU2" s="601"/>
      <c r="CV2" s="72"/>
      <c r="CW2" s="73" t="s">
        <v>40</v>
      </c>
      <c r="CX2" s="74"/>
      <c r="CY2" s="74"/>
      <c r="CZ2" s="74"/>
      <c r="DA2" s="74"/>
      <c r="DB2" s="73" t="s">
        <v>40</v>
      </c>
      <c r="DC2" s="74"/>
      <c r="DD2" s="74"/>
      <c r="DE2" s="75" t="s">
        <v>50</v>
      </c>
      <c r="DF2" s="76"/>
      <c r="DG2" s="76"/>
      <c r="DH2" s="76"/>
      <c r="DI2" s="76"/>
      <c r="DJ2" s="75" t="s">
        <v>50</v>
      </c>
      <c r="DK2" s="76"/>
      <c r="DL2" s="76"/>
      <c r="DM2" s="76"/>
      <c r="DN2" s="76"/>
      <c r="DO2" s="75" t="s">
        <v>50</v>
      </c>
      <c r="DP2" s="75" t="s">
        <v>50</v>
      </c>
      <c r="DQ2" s="75"/>
      <c r="DR2" s="75" t="s">
        <v>105</v>
      </c>
      <c r="DS2" s="75"/>
      <c r="DT2" s="75"/>
      <c r="DU2" s="75" t="s">
        <v>50</v>
      </c>
      <c r="DV2" s="75" t="s">
        <v>50</v>
      </c>
      <c r="DW2" s="75" t="s">
        <v>50</v>
      </c>
      <c r="DX2" s="75" t="s">
        <v>50</v>
      </c>
      <c r="DY2" s="75"/>
      <c r="DZ2" s="75"/>
      <c r="EA2" s="75"/>
      <c r="EB2" s="76"/>
      <c r="EC2" s="76"/>
      <c r="ED2" s="77"/>
      <c r="EE2" s="78" t="s">
        <v>51</v>
      </c>
      <c r="EF2" s="79"/>
      <c r="EG2" s="79"/>
      <c r="EH2" s="80"/>
      <c r="EI2" s="78" t="s">
        <v>51</v>
      </c>
      <c r="EJ2" s="81" t="s">
        <v>53</v>
      </c>
      <c r="EK2" s="246" t="s">
        <v>106</v>
      </c>
      <c r="EL2" s="82"/>
      <c r="EM2" s="60"/>
      <c r="EN2" s="83" t="s">
        <v>53</v>
      </c>
      <c r="EO2" s="60"/>
      <c r="EP2" s="60"/>
      <c r="EQ2" s="83" t="s">
        <v>53</v>
      </c>
      <c r="ER2" s="60"/>
      <c r="ES2" s="84" t="s">
        <v>13</v>
      </c>
      <c r="ET2" s="3"/>
      <c r="EU2" s="3"/>
      <c r="EV2" s="3"/>
      <c r="EW2" s="84" t="s">
        <v>13</v>
      </c>
      <c r="EX2" s="3"/>
      <c r="EY2" s="3"/>
      <c r="EZ2" s="3"/>
      <c r="FA2" s="84" t="s">
        <v>13</v>
      </c>
      <c r="FB2" s="3"/>
      <c r="FC2" s="6"/>
      <c r="FD2" s="1"/>
      <c r="FE2" s="1"/>
      <c r="FF2" s="1"/>
      <c r="FG2" s="1" t="s">
        <v>106</v>
      </c>
      <c r="FH2" s="1"/>
      <c r="FI2" s="1"/>
      <c r="FJ2" s="1"/>
      <c r="FK2" s="1"/>
      <c r="FL2" s="22"/>
      <c r="FM2" s="1"/>
      <c r="FN2" s="1"/>
      <c r="FO2" s="1"/>
      <c r="FP2" s="1"/>
      <c r="FQ2" s="1"/>
      <c r="FR2" s="1"/>
      <c r="FS2" s="1"/>
      <c r="FT2" s="1"/>
      <c r="FU2" s="1"/>
      <c r="FV2" s="15" t="s">
        <v>159</v>
      </c>
      <c r="FW2" s="15" t="s">
        <v>159</v>
      </c>
      <c r="FX2" s="16" t="s">
        <v>245</v>
      </c>
      <c r="FY2" s="16" t="s">
        <v>245</v>
      </c>
      <c r="FZ2" s="18"/>
      <c r="GA2" s="18"/>
      <c r="GB2" s="1"/>
      <c r="GC2" s="20"/>
      <c r="GD2" s="1"/>
      <c r="GE2" s="64"/>
      <c r="GF2" s="253"/>
      <c r="GG2" s="301"/>
      <c r="GH2" s="253"/>
      <c r="GI2" s="253"/>
      <c r="GJ2" s="253"/>
      <c r="GK2" s="253"/>
      <c r="GL2" s="1"/>
      <c r="GM2" s="384"/>
    </row>
    <row r="3" spans="1:201" s="283" customFormat="1" ht="49.5" customHeight="1">
      <c r="A3" s="598" t="s">
        <v>149</v>
      </c>
      <c r="B3" s="376" t="s">
        <v>420</v>
      </c>
      <c r="C3" s="220" t="s">
        <v>287</v>
      </c>
      <c r="D3" s="360" t="s">
        <v>39</v>
      </c>
      <c r="E3" s="85" t="s">
        <v>227</v>
      </c>
      <c r="F3" s="249" t="s">
        <v>15</v>
      </c>
      <c r="G3" s="86" t="s">
        <v>6</v>
      </c>
      <c r="H3" s="86" t="s">
        <v>14</v>
      </c>
      <c r="I3" s="245" t="s">
        <v>16</v>
      </c>
      <c r="J3" s="2" t="s">
        <v>4</v>
      </c>
      <c r="K3" s="21" t="s">
        <v>3</v>
      </c>
      <c r="L3" s="2" t="s">
        <v>17</v>
      </c>
      <c r="M3" s="2" t="s">
        <v>32</v>
      </c>
      <c r="N3" s="2" t="s">
        <v>170</v>
      </c>
      <c r="O3" s="87" t="s">
        <v>23</v>
      </c>
      <c r="P3" s="2" t="s">
        <v>378</v>
      </c>
      <c r="Q3" s="88" t="s">
        <v>19</v>
      </c>
      <c r="R3" s="86" t="s">
        <v>20</v>
      </c>
      <c r="S3" s="86" t="s">
        <v>14</v>
      </c>
      <c r="T3" s="247" t="s">
        <v>16</v>
      </c>
      <c r="U3" s="2" t="s">
        <v>4</v>
      </c>
      <c r="V3" s="21" t="s">
        <v>3</v>
      </c>
      <c r="W3" s="86" t="s">
        <v>21</v>
      </c>
      <c r="X3" s="2" t="s">
        <v>22</v>
      </c>
      <c r="Y3" s="2" t="s">
        <v>26</v>
      </c>
      <c r="Z3" s="87" t="s">
        <v>154</v>
      </c>
      <c r="AA3" s="2"/>
      <c r="AB3" s="86" t="s">
        <v>27</v>
      </c>
      <c r="AC3" s="86" t="s">
        <v>28</v>
      </c>
      <c r="AD3" s="86" t="s">
        <v>14</v>
      </c>
      <c r="AE3" s="89" t="s">
        <v>16</v>
      </c>
      <c r="AF3" s="2" t="s">
        <v>102</v>
      </c>
      <c r="AG3" s="21" t="s">
        <v>3</v>
      </c>
      <c r="AH3" s="2" t="s">
        <v>17</v>
      </c>
      <c r="AI3" s="2" t="s">
        <v>29</v>
      </c>
      <c r="AJ3" s="87" t="s">
        <v>165</v>
      </c>
      <c r="AK3" s="87" t="s">
        <v>30</v>
      </c>
      <c r="AL3" s="152" t="s">
        <v>313</v>
      </c>
      <c r="AM3" s="152" t="s">
        <v>371</v>
      </c>
      <c r="AN3" s="293" t="s">
        <v>376</v>
      </c>
      <c r="AO3" s="113"/>
      <c r="AP3" s="119"/>
      <c r="AQ3" s="113"/>
      <c r="AR3" s="113"/>
      <c r="AS3" s="113"/>
      <c r="AT3" s="120"/>
      <c r="AU3" s="121"/>
      <c r="AV3" s="87" t="s">
        <v>226</v>
      </c>
      <c r="AW3" s="21" t="s">
        <v>72</v>
      </c>
      <c r="AX3" s="21" t="s">
        <v>33</v>
      </c>
      <c r="AY3" s="21" t="s">
        <v>34</v>
      </c>
      <c r="AZ3" s="90" t="s">
        <v>37</v>
      </c>
      <c r="BA3" s="89" t="s">
        <v>35</v>
      </c>
      <c r="BB3" s="91" t="s">
        <v>36</v>
      </c>
      <c r="BC3" s="2" t="s">
        <v>122</v>
      </c>
      <c r="BD3" s="2" t="s">
        <v>121</v>
      </c>
      <c r="BE3" s="92" t="s">
        <v>123</v>
      </c>
      <c r="BF3" s="2" t="s">
        <v>38</v>
      </c>
      <c r="BG3" s="2" t="s">
        <v>18</v>
      </c>
      <c r="BH3" s="113"/>
      <c r="BI3" s="114"/>
      <c r="BJ3" s="115"/>
      <c r="BK3" s="115"/>
      <c r="BL3" s="114"/>
      <c r="BM3" s="114"/>
      <c r="BN3" s="115"/>
      <c r="BO3" s="115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6"/>
      <c r="CA3" s="114"/>
      <c r="CB3" s="114"/>
      <c r="CC3" s="114"/>
      <c r="CD3" s="114"/>
      <c r="CE3" s="117"/>
      <c r="CF3" s="117"/>
      <c r="CG3" s="117"/>
      <c r="CH3" s="117"/>
      <c r="CI3" s="117"/>
      <c r="CJ3" s="117"/>
      <c r="CK3" s="114"/>
      <c r="CL3" s="114"/>
      <c r="CM3" s="114"/>
      <c r="CN3" s="114"/>
      <c r="CO3" s="114"/>
      <c r="CP3" s="114"/>
      <c r="CQ3" s="114"/>
      <c r="CR3" s="168" t="s">
        <v>392</v>
      </c>
      <c r="CS3" s="168" t="s">
        <v>393</v>
      </c>
      <c r="CT3" s="114" t="s">
        <v>324</v>
      </c>
      <c r="CU3" s="603" t="s">
        <v>594</v>
      </c>
      <c r="CV3" s="24" t="s">
        <v>317</v>
      </c>
      <c r="CW3" s="2" t="s">
        <v>2</v>
      </c>
      <c r="CX3" s="2" t="s">
        <v>41</v>
      </c>
      <c r="CY3" s="2" t="s">
        <v>46</v>
      </c>
      <c r="CZ3" s="2" t="s">
        <v>42</v>
      </c>
      <c r="DA3" s="2" t="s">
        <v>43</v>
      </c>
      <c r="DB3" s="2" t="s">
        <v>44</v>
      </c>
      <c r="DC3" s="2" t="s">
        <v>48</v>
      </c>
      <c r="DD3" s="4" t="s">
        <v>49</v>
      </c>
      <c r="DE3" s="2" t="s">
        <v>80</v>
      </c>
      <c r="DF3" s="2" t="s">
        <v>81</v>
      </c>
      <c r="DG3" s="2" t="s">
        <v>82</v>
      </c>
      <c r="DH3" s="2" t="s">
        <v>83</v>
      </c>
      <c r="DI3" s="2" t="s">
        <v>84</v>
      </c>
      <c r="DJ3" s="2" t="s">
        <v>85</v>
      </c>
      <c r="DK3" s="2" t="s">
        <v>86</v>
      </c>
      <c r="DL3" s="2" t="s">
        <v>87</v>
      </c>
      <c r="DM3" s="4" t="s">
        <v>126</v>
      </c>
      <c r="DN3" s="2" t="s">
        <v>127</v>
      </c>
      <c r="DO3" s="2" t="s">
        <v>97</v>
      </c>
      <c r="DP3" s="9" t="s">
        <v>139</v>
      </c>
      <c r="DQ3" s="4" t="s">
        <v>88</v>
      </c>
      <c r="DR3" s="4" t="s">
        <v>89</v>
      </c>
      <c r="DS3" s="4" t="s">
        <v>90</v>
      </c>
      <c r="DT3" s="4" t="s">
        <v>91</v>
      </c>
      <c r="DU3" s="4" t="s">
        <v>92</v>
      </c>
      <c r="DV3" s="4" t="s">
        <v>93</v>
      </c>
      <c r="DW3" s="4" t="s">
        <v>94</v>
      </c>
      <c r="DX3" s="4" t="s">
        <v>95</v>
      </c>
      <c r="DY3" s="4" t="s">
        <v>96</v>
      </c>
      <c r="DZ3" s="4" t="s">
        <v>126</v>
      </c>
      <c r="EA3" s="4" t="s">
        <v>98</v>
      </c>
      <c r="EB3" s="2" t="s">
        <v>127</v>
      </c>
      <c r="EC3" s="2"/>
      <c r="ED3" s="2" t="s">
        <v>230</v>
      </c>
      <c r="EE3" s="2" t="s">
        <v>52</v>
      </c>
      <c r="EF3" s="2" t="s">
        <v>176</v>
      </c>
      <c r="EG3" s="2" t="s">
        <v>125</v>
      </c>
      <c r="EH3" s="24" t="s">
        <v>256</v>
      </c>
      <c r="EI3" s="2" t="s">
        <v>129</v>
      </c>
      <c r="EJ3" s="21" t="s">
        <v>55</v>
      </c>
      <c r="EK3" s="248" t="s">
        <v>233</v>
      </c>
      <c r="EL3" s="93" t="s">
        <v>54</v>
      </c>
      <c r="EM3" s="2" t="s">
        <v>56</v>
      </c>
      <c r="EN3" s="2" t="s">
        <v>57</v>
      </c>
      <c r="EO3" s="2" t="s">
        <v>58</v>
      </c>
      <c r="EP3" s="2" t="s">
        <v>69</v>
      </c>
      <c r="EQ3" s="2" t="s">
        <v>70</v>
      </c>
      <c r="ER3" s="2" t="s">
        <v>71</v>
      </c>
      <c r="ES3" s="2" t="s">
        <v>101</v>
      </c>
      <c r="ET3" s="2" t="s">
        <v>59</v>
      </c>
      <c r="EU3" s="2" t="s">
        <v>67</v>
      </c>
      <c r="EV3" s="2" t="s">
        <v>64</v>
      </c>
      <c r="EW3" s="2" t="s">
        <v>60</v>
      </c>
      <c r="EX3" s="2" t="s">
        <v>61</v>
      </c>
      <c r="EY3" s="2" t="s">
        <v>62</v>
      </c>
      <c r="EZ3" s="2" t="s">
        <v>65</v>
      </c>
      <c r="FA3" s="2" t="s">
        <v>66</v>
      </c>
      <c r="FB3" s="2" t="s">
        <v>63</v>
      </c>
      <c r="FC3" s="5" t="s">
        <v>68</v>
      </c>
      <c r="FD3" s="2" t="s">
        <v>135</v>
      </c>
      <c r="FE3" s="2" t="s">
        <v>136</v>
      </c>
      <c r="FF3" s="2" t="s">
        <v>137</v>
      </c>
      <c r="FG3" s="2" t="s">
        <v>140</v>
      </c>
      <c r="FH3" s="2" t="s">
        <v>141</v>
      </c>
      <c r="FI3" s="2" t="s">
        <v>142</v>
      </c>
      <c r="FJ3" s="2" t="s">
        <v>144</v>
      </c>
      <c r="FK3" s="2"/>
      <c r="FL3" s="23" t="s">
        <v>175</v>
      </c>
      <c r="FM3" s="10" t="s">
        <v>131</v>
      </c>
      <c r="FN3" s="10" t="s">
        <v>132</v>
      </c>
      <c r="FO3" s="2" t="s">
        <v>145</v>
      </c>
      <c r="FP3" s="2" t="s">
        <v>158</v>
      </c>
      <c r="FQ3" s="2" t="s">
        <v>159</v>
      </c>
      <c r="FR3" s="2" t="s">
        <v>100</v>
      </c>
      <c r="FS3" s="8" t="s">
        <v>161</v>
      </c>
      <c r="FT3" s="2" t="s">
        <v>162</v>
      </c>
      <c r="FU3" s="2"/>
      <c r="FV3" s="13" t="s">
        <v>243</v>
      </c>
      <c r="FW3" s="14" t="s">
        <v>244</v>
      </c>
      <c r="FX3" s="13" t="s">
        <v>243</v>
      </c>
      <c r="FY3" s="14" t="s">
        <v>244</v>
      </c>
      <c r="FZ3" s="19" t="s">
        <v>242</v>
      </c>
      <c r="GA3" s="19" t="s">
        <v>246</v>
      </c>
      <c r="GB3" s="2"/>
      <c r="GC3" s="21" t="s">
        <v>249</v>
      </c>
      <c r="GD3" s="24" t="s">
        <v>253</v>
      </c>
      <c r="GE3" s="251" t="s">
        <v>380</v>
      </c>
      <c r="GF3" s="254" t="s">
        <v>498</v>
      </c>
      <c r="GG3" s="302" t="s">
        <v>34</v>
      </c>
      <c r="GH3" s="254" t="s">
        <v>414</v>
      </c>
      <c r="GI3" s="254" t="s">
        <v>391</v>
      </c>
      <c r="GJ3" s="91" t="s">
        <v>416</v>
      </c>
      <c r="GK3" s="93"/>
      <c r="GL3" s="396" t="s">
        <v>487</v>
      </c>
      <c r="GM3" s="385"/>
    </row>
    <row r="4" spans="1:201" s="209" customFormat="1" ht="15" customHeight="1">
      <c r="A4" s="171" t="s">
        <v>1006</v>
      </c>
      <c r="B4" s="372">
        <v>1005</v>
      </c>
      <c r="C4" s="205"/>
      <c r="D4" s="357" t="s">
        <v>1012</v>
      </c>
      <c r="E4" s="205"/>
      <c r="F4" s="169" t="s">
        <v>5</v>
      </c>
      <c r="G4" s="202" t="s">
        <v>103</v>
      </c>
      <c r="H4" s="169" t="str">
        <f t="shared" ref="H4:H9" si="0">CONCATENATE(F4," ",G4)</f>
        <v>PET Chemical</v>
      </c>
      <c r="I4" s="241">
        <v>1125</v>
      </c>
      <c r="J4" s="202" t="s">
        <v>0</v>
      </c>
      <c r="K4" s="200">
        <v>12</v>
      </c>
      <c r="L4" s="202">
        <v>1.4</v>
      </c>
      <c r="M4" s="202">
        <f t="shared" ref="M4:M9" si="1">L4*K4</f>
        <v>16.799999999999997</v>
      </c>
      <c r="N4" s="202" t="s">
        <v>147</v>
      </c>
      <c r="O4" s="169" t="str">
        <f t="shared" ref="O4:O9" si="2">CONCATENATE(I4,"mm",,"X",K4,N4," ",F4," ",G4)</f>
        <v>1125mmX12Mic PET Chemical</v>
      </c>
      <c r="P4" s="250" t="str">
        <f t="shared" ref="P4:P9" si="3">IF(T4=0,"SURFACE JOB","-")</f>
        <v>-</v>
      </c>
      <c r="Q4" s="203" t="s">
        <v>327</v>
      </c>
      <c r="R4" s="202" t="s">
        <v>252</v>
      </c>
      <c r="S4" s="169" t="str">
        <f>CONCATENATE(Q4," ",R4)</f>
        <v>CC  Met Pet  ( OD 2.2+)</v>
      </c>
      <c r="T4" s="241">
        <v>1115</v>
      </c>
      <c r="U4" s="202" t="s">
        <v>0</v>
      </c>
      <c r="V4" s="202">
        <v>10</v>
      </c>
      <c r="W4" s="202">
        <v>1.4</v>
      </c>
      <c r="X4" s="202">
        <f>V4*W4</f>
        <v>14</v>
      </c>
      <c r="Y4" s="202"/>
      <c r="Z4" s="169" t="str">
        <f t="shared" ref="Z4:Z9" si="4">CONCATENATE(T4,"mm","x",V4,"mic"," ",Q4," ",R4)</f>
        <v>1115mmx10mic CC  Met Pet  ( OD 2.2+)</v>
      </c>
      <c r="AA4" s="202"/>
      <c r="AB4" s="202" t="s">
        <v>134</v>
      </c>
      <c r="AC4" s="202" t="s">
        <v>155</v>
      </c>
      <c r="AD4" s="202" t="str">
        <f>CONCATENATE(AB4," ",AC4)</f>
        <v>PE (Natural)</v>
      </c>
      <c r="AE4" s="200">
        <v>1115</v>
      </c>
      <c r="AF4" s="202"/>
      <c r="AG4" s="202">
        <v>21</v>
      </c>
      <c r="AH4" s="202">
        <v>0.92</v>
      </c>
      <c r="AI4" s="202">
        <f>AH4*AG4</f>
        <v>19.32</v>
      </c>
      <c r="AJ4" s="169"/>
      <c r="AK4" s="169" t="str">
        <f>CONCATENATE(AE4,"mm","X ",AG4,"mic"," ",AD4)</f>
        <v>1115mmX 21mic PE (Natural)</v>
      </c>
      <c r="AL4" s="122">
        <v>104523</v>
      </c>
      <c r="AM4" s="150">
        <v>103714</v>
      </c>
      <c r="AN4" s="150">
        <v>103829</v>
      </c>
      <c r="AO4" s="202"/>
      <c r="AP4" s="202"/>
      <c r="AQ4" s="202"/>
      <c r="AR4" s="202"/>
      <c r="AS4" s="202"/>
      <c r="AT4" s="169"/>
      <c r="AU4" s="202"/>
      <c r="AV4" s="169"/>
      <c r="AW4" s="200"/>
      <c r="AX4" s="200"/>
      <c r="AY4" s="200"/>
      <c r="AZ4" s="202"/>
      <c r="BA4" s="200">
        <v>220</v>
      </c>
      <c r="BB4" s="201">
        <v>130</v>
      </c>
      <c r="BC4" s="202"/>
      <c r="BD4" s="202">
        <v>5</v>
      </c>
      <c r="BE4" s="200">
        <f t="shared" ref="BE4:BE9" si="5">BA4*BD4</f>
        <v>1100</v>
      </c>
      <c r="BF4" s="202">
        <v>1</v>
      </c>
      <c r="BG4" s="202">
        <f t="shared" ref="BG4:BG9" si="6">BF4+M4</f>
        <v>17.799999999999997</v>
      </c>
      <c r="BH4" s="202"/>
      <c r="BI4" s="202"/>
      <c r="BJ4" s="202"/>
      <c r="BK4" s="202"/>
      <c r="BL4" s="202"/>
      <c r="BM4" s="202"/>
      <c r="BN4" s="202"/>
      <c r="BO4" s="202"/>
      <c r="BP4" s="202"/>
      <c r="BQ4" s="202"/>
      <c r="BR4" s="202"/>
      <c r="BS4" s="202"/>
      <c r="BT4" s="202"/>
      <c r="BU4" s="202"/>
      <c r="BV4" s="202"/>
      <c r="BW4" s="202"/>
      <c r="BX4" s="202"/>
      <c r="BY4" s="202"/>
      <c r="BZ4" s="202"/>
      <c r="CA4" s="202"/>
      <c r="CB4" s="202"/>
      <c r="CC4" s="202"/>
      <c r="CD4" s="202"/>
      <c r="CE4" s="202"/>
      <c r="CF4" s="202"/>
      <c r="CG4" s="202"/>
      <c r="CH4" s="202"/>
      <c r="CI4" s="202"/>
      <c r="CJ4" s="202"/>
      <c r="CK4" s="202"/>
      <c r="CL4" s="202"/>
      <c r="CM4" s="202"/>
      <c r="CN4" s="202"/>
      <c r="CO4" s="202"/>
      <c r="CP4" s="202"/>
      <c r="CQ4" s="202"/>
      <c r="CR4" s="202"/>
      <c r="CS4" s="202"/>
      <c r="CT4" s="200">
        <f t="shared" ref="CT4:CT9" si="7">I4</f>
        <v>1125</v>
      </c>
      <c r="CU4" s="207"/>
      <c r="CV4" s="202" t="str">
        <f t="shared" ref="CV4:CV9" si="8">IF(CX4&gt;0,"ECL- Job","-")</f>
        <v>ECL- Job</v>
      </c>
      <c r="CW4" s="202" t="s">
        <v>45</v>
      </c>
      <c r="CX4" s="202">
        <v>8</v>
      </c>
      <c r="CY4" s="202" t="s">
        <v>47</v>
      </c>
      <c r="CZ4" s="202"/>
      <c r="DA4" s="202"/>
      <c r="DB4" s="202"/>
      <c r="DC4" s="202">
        <f>M4+X4+BF4+CX4</f>
        <v>39.799999999999997</v>
      </c>
      <c r="DD4" s="202"/>
      <c r="DE4" s="202"/>
      <c r="DF4" s="202"/>
      <c r="DG4" s="202"/>
      <c r="DH4" s="202"/>
      <c r="DI4" s="202"/>
      <c r="DJ4" s="202"/>
      <c r="DK4" s="202"/>
      <c r="DL4" s="202"/>
      <c r="DM4" s="202"/>
      <c r="DN4" s="202"/>
      <c r="DO4" s="202"/>
      <c r="DP4" s="202"/>
      <c r="DQ4" s="202"/>
      <c r="DR4" s="202"/>
      <c r="DS4" s="202"/>
      <c r="DT4" s="202"/>
      <c r="DU4" s="202"/>
      <c r="DV4" s="202"/>
      <c r="DW4" s="202"/>
      <c r="DX4" s="202"/>
      <c r="DY4" s="202"/>
      <c r="DZ4" s="202"/>
      <c r="EA4" s="202"/>
      <c r="EB4" s="202"/>
      <c r="EC4" s="202"/>
      <c r="ED4" s="202" t="s">
        <v>172</v>
      </c>
      <c r="EE4" s="202"/>
      <c r="EF4" s="202"/>
      <c r="EG4" s="202"/>
      <c r="EH4" s="202"/>
      <c r="EI4" s="202"/>
      <c r="EJ4" s="200"/>
      <c r="EK4" s="241"/>
      <c r="EL4" s="201"/>
      <c r="EM4" s="202"/>
      <c r="EN4" s="202"/>
      <c r="EO4" s="202"/>
      <c r="EP4" s="202"/>
      <c r="EQ4" s="202"/>
      <c r="ER4" s="202"/>
      <c r="ES4" s="202"/>
      <c r="ET4" s="202"/>
      <c r="EU4" s="202"/>
      <c r="EV4" s="202"/>
      <c r="EW4" s="202"/>
      <c r="EX4" s="202"/>
      <c r="EY4" s="202"/>
      <c r="EZ4" s="202"/>
      <c r="FA4" s="202"/>
      <c r="FB4" s="202"/>
      <c r="FC4" s="202"/>
      <c r="FD4" s="202" t="s">
        <v>117</v>
      </c>
      <c r="FE4" s="202" t="s">
        <v>138</v>
      </c>
      <c r="FF4" s="202" t="s">
        <v>105</v>
      </c>
      <c r="FG4" s="202" t="s">
        <v>107</v>
      </c>
      <c r="FH4" s="202" t="s">
        <v>143</v>
      </c>
      <c r="FI4" s="202"/>
      <c r="FJ4" s="202" t="s">
        <v>133</v>
      </c>
      <c r="FK4" s="202"/>
      <c r="FL4" s="208">
        <v>1.05</v>
      </c>
      <c r="FM4" s="202"/>
      <c r="FN4" s="202">
        <v>1.7</v>
      </c>
      <c r="FO4" s="202" t="s">
        <v>236</v>
      </c>
      <c r="FP4" s="212">
        <f t="shared" ref="FP4:FP8" si="9">IF(CX4&gt;0,(BG4+CX4+X4),(BG4+FM4+X4))</f>
        <v>39.799999999999997</v>
      </c>
      <c r="FQ4" s="202" t="s">
        <v>107</v>
      </c>
      <c r="FR4" s="202" t="s">
        <v>160</v>
      </c>
      <c r="FS4" s="169" t="s">
        <v>163</v>
      </c>
      <c r="FT4" s="202" t="s">
        <v>164</v>
      </c>
      <c r="FU4" s="202">
        <v>25</v>
      </c>
      <c r="FV4" s="202"/>
      <c r="FW4" s="202"/>
      <c r="FX4" s="202"/>
      <c r="FY4" s="202"/>
      <c r="FZ4" s="202"/>
      <c r="GA4" s="202"/>
      <c r="GB4" s="202"/>
      <c r="GC4" s="200">
        <f t="shared" ref="GC4:GC9" si="10">I4-BE4</f>
        <v>25</v>
      </c>
      <c r="GD4" s="202" t="s">
        <v>255</v>
      </c>
      <c r="GE4" s="202"/>
      <c r="GF4" s="202"/>
      <c r="GG4" s="169"/>
      <c r="GH4" s="202"/>
      <c r="GI4" s="202"/>
      <c r="GJ4" s="202"/>
      <c r="GK4" s="202"/>
      <c r="GL4" s="202"/>
      <c r="GM4" s="387" t="str">
        <f t="shared" ref="GM4:GM9" si="11">A4</f>
        <v>JOB NAME-1</v>
      </c>
    </row>
    <row r="5" spans="1:201" s="209" customFormat="1" ht="15" customHeight="1">
      <c r="A5" s="171" t="s">
        <v>1007</v>
      </c>
      <c r="B5" s="372">
        <v>1006</v>
      </c>
      <c r="C5" s="205"/>
      <c r="D5" s="357" t="s">
        <v>1013</v>
      </c>
      <c r="E5" s="205"/>
      <c r="F5" s="169" t="s">
        <v>134</v>
      </c>
      <c r="G5" s="202" t="s">
        <v>156</v>
      </c>
      <c r="H5" s="169" t="str">
        <f t="shared" si="0"/>
        <v>PE (White)</v>
      </c>
      <c r="I5" s="241">
        <v>985</v>
      </c>
      <c r="J5" s="202" t="s">
        <v>0</v>
      </c>
      <c r="K5" s="200">
        <v>105</v>
      </c>
      <c r="L5" s="202">
        <v>0.95</v>
      </c>
      <c r="M5" s="202">
        <f t="shared" si="1"/>
        <v>99.75</v>
      </c>
      <c r="N5" s="202" t="s">
        <v>147</v>
      </c>
      <c r="O5" s="169" t="str">
        <f t="shared" si="2"/>
        <v>985mmX105Mic PE (White)</v>
      </c>
      <c r="P5" s="250" t="str">
        <f t="shared" si="3"/>
        <v>SURFACE JOB</v>
      </c>
      <c r="Q5" s="203"/>
      <c r="R5" s="202"/>
      <c r="S5" s="169" t="str">
        <f>CONCATENATE(Q5," ",R5)</f>
        <v xml:space="preserve"> </v>
      </c>
      <c r="T5" s="241"/>
      <c r="U5" s="202" t="s">
        <v>0</v>
      </c>
      <c r="V5" s="202"/>
      <c r="W5" s="202"/>
      <c r="X5" s="202">
        <f>W5*V5</f>
        <v>0</v>
      </c>
      <c r="Y5" s="202"/>
      <c r="Z5" s="169" t="str">
        <f t="shared" si="4"/>
        <v xml:space="preserve">mmxmic  </v>
      </c>
      <c r="AA5" s="202"/>
      <c r="AB5" s="202"/>
      <c r="AC5" s="202"/>
      <c r="AD5" s="202"/>
      <c r="AE5" s="200"/>
      <c r="AF5" s="202"/>
      <c r="AG5" s="202"/>
      <c r="AH5" s="202"/>
      <c r="AI5" s="202">
        <f>AH5*AG5</f>
        <v>0</v>
      </c>
      <c r="AJ5" s="169"/>
      <c r="AK5" s="169" t="str">
        <f t="shared" ref="AK5:AK9" si="12">CONCATENATE(AE5,"mm","X ",AG5,"mic"," ",AD5)</f>
        <v xml:space="preserve">mmX mic </v>
      </c>
      <c r="AL5" s="122">
        <v>104795</v>
      </c>
      <c r="AM5" s="150"/>
      <c r="AN5" s="150"/>
      <c r="AO5" s="202"/>
      <c r="AP5" s="202"/>
      <c r="AQ5" s="202"/>
      <c r="AR5" s="202"/>
      <c r="AS5" s="202"/>
      <c r="AT5" s="169"/>
      <c r="AU5" s="202"/>
      <c r="AV5" s="169"/>
      <c r="AW5" s="200"/>
      <c r="AX5" s="200"/>
      <c r="AY5" s="200"/>
      <c r="AZ5" s="202"/>
      <c r="BA5" s="200">
        <v>325</v>
      </c>
      <c r="BB5" s="201">
        <v>245</v>
      </c>
      <c r="BC5" s="202"/>
      <c r="BD5" s="202">
        <v>3</v>
      </c>
      <c r="BE5" s="200">
        <f t="shared" si="5"/>
        <v>975</v>
      </c>
      <c r="BF5" s="202">
        <v>0.5</v>
      </c>
      <c r="BG5" s="202">
        <f t="shared" si="6"/>
        <v>100.25</v>
      </c>
      <c r="BH5" s="202"/>
      <c r="BI5" s="202"/>
      <c r="BJ5" s="202"/>
      <c r="BK5" s="202"/>
      <c r="BL5" s="202"/>
      <c r="BM5" s="202"/>
      <c r="BN5" s="202"/>
      <c r="BO5" s="202"/>
      <c r="BP5" s="202"/>
      <c r="BQ5" s="202"/>
      <c r="BR5" s="202"/>
      <c r="BS5" s="202"/>
      <c r="BT5" s="202"/>
      <c r="BU5" s="202"/>
      <c r="BV5" s="202"/>
      <c r="BW5" s="202"/>
      <c r="BX5" s="202"/>
      <c r="BY5" s="202"/>
      <c r="BZ5" s="202"/>
      <c r="CA5" s="202"/>
      <c r="CB5" s="202"/>
      <c r="CC5" s="202"/>
      <c r="CD5" s="202"/>
      <c r="CE5" s="202"/>
      <c r="CF5" s="202"/>
      <c r="CG5" s="202"/>
      <c r="CH5" s="202"/>
      <c r="CI5" s="202"/>
      <c r="CJ5" s="202"/>
      <c r="CK5" s="202"/>
      <c r="CL5" s="202"/>
      <c r="CM5" s="202"/>
      <c r="CN5" s="202"/>
      <c r="CO5" s="202"/>
      <c r="CP5" s="202"/>
      <c r="CQ5" s="202"/>
      <c r="CR5" s="202"/>
      <c r="CS5" s="202"/>
      <c r="CT5" s="200">
        <f t="shared" si="7"/>
        <v>985</v>
      </c>
      <c r="CU5" s="207"/>
      <c r="CV5" s="202" t="str">
        <f t="shared" si="8"/>
        <v>-</v>
      </c>
      <c r="CW5" s="202"/>
      <c r="CX5" s="202"/>
      <c r="CY5" s="202"/>
      <c r="CZ5" s="202"/>
      <c r="DA5" s="202"/>
      <c r="DB5" s="202"/>
      <c r="DC5" s="202"/>
      <c r="DD5" s="202"/>
      <c r="DE5" s="202"/>
      <c r="DF5" s="202"/>
      <c r="DG5" s="202"/>
      <c r="DH5" s="202"/>
      <c r="DI5" s="202"/>
      <c r="DJ5" s="202"/>
      <c r="DK5" s="202"/>
      <c r="DL5" s="202"/>
      <c r="DM5" s="202"/>
      <c r="DN5" s="202"/>
      <c r="DO5" s="202"/>
      <c r="DP5" s="202"/>
      <c r="DQ5" s="202"/>
      <c r="DR5" s="202"/>
      <c r="DS5" s="202"/>
      <c r="DT5" s="202"/>
      <c r="DU5" s="202"/>
      <c r="DV5" s="202"/>
      <c r="DW5" s="202"/>
      <c r="DX5" s="202"/>
      <c r="DY5" s="202"/>
      <c r="DZ5" s="202"/>
      <c r="EA5" s="202"/>
      <c r="EB5" s="202"/>
      <c r="EC5" s="202"/>
      <c r="ED5" s="202" t="s">
        <v>172</v>
      </c>
      <c r="EE5" s="202"/>
      <c r="EF5" s="202"/>
      <c r="EG5" s="202"/>
      <c r="EH5" s="202"/>
      <c r="EI5" s="202"/>
      <c r="EJ5" s="200"/>
      <c r="EK5" s="241"/>
      <c r="EL5" s="201"/>
      <c r="EM5" s="202"/>
      <c r="EN5" s="202"/>
      <c r="EO5" s="202"/>
      <c r="EP5" s="202"/>
      <c r="EQ5" s="202"/>
      <c r="ER5" s="202"/>
      <c r="ES5" s="202"/>
      <c r="ET5" s="202"/>
      <c r="EU5" s="202"/>
      <c r="EV5" s="202"/>
      <c r="EW5" s="202"/>
      <c r="EX5" s="202"/>
      <c r="EY5" s="202"/>
      <c r="EZ5" s="202"/>
      <c r="FA5" s="202"/>
      <c r="FB5" s="202"/>
      <c r="FC5" s="202"/>
      <c r="FD5" s="202" t="s">
        <v>225</v>
      </c>
      <c r="FE5" s="202" t="s">
        <v>105</v>
      </c>
      <c r="FF5" s="202" t="s">
        <v>105</v>
      </c>
      <c r="FG5" s="202" t="s">
        <v>133</v>
      </c>
      <c r="FH5" s="202"/>
      <c r="FI5" s="202"/>
      <c r="FJ5" s="202"/>
      <c r="FK5" s="202"/>
      <c r="FL5" s="208">
        <v>1</v>
      </c>
      <c r="FM5" s="202"/>
      <c r="FN5" s="202"/>
      <c r="FO5" s="202" t="s">
        <v>237</v>
      </c>
      <c r="FP5" s="212">
        <f t="shared" si="9"/>
        <v>100.25</v>
      </c>
      <c r="FQ5" s="202" t="s">
        <v>133</v>
      </c>
      <c r="FR5" s="202"/>
      <c r="FS5" s="169" t="s">
        <v>163</v>
      </c>
      <c r="FT5" s="202"/>
      <c r="FU5" s="202"/>
      <c r="FV5" s="202"/>
      <c r="FW5" s="202"/>
      <c r="FX5" s="202"/>
      <c r="FY5" s="202"/>
      <c r="FZ5" s="202"/>
      <c r="GA5" s="202"/>
      <c r="GB5" s="202"/>
      <c r="GC5" s="200">
        <f t="shared" si="10"/>
        <v>10</v>
      </c>
      <c r="GD5" s="202" t="s">
        <v>397</v>
      </c>
      <c r="GE5" s="202"/>
      <c r="GF5" s="202"/>
      <c r="GG5" s="169"/>
      <c r="GH5" s="202"/>
      <c r="GI5" s="202"/>
      <c r="GJ5" s="202"/>
      <c r="GK5" s="202"/>
      <c r="GL5" s="202"/>
      <c r="GM5" s="387" t="str">
        <f t="shared" si="11"/>
        <v>JOB NAME-2</v>
      </c>
    </row>
    <row r="6" spans="1:201" s="209" customFormat="1" ht="15" customHeight="1">
      <c r="A6" s="171" t="s">
        <v>1008</v>
      </c>
      <c r="B6" s="372">
        <v>1007</v>
      </c>
      <c r="C6" s="205"/>
      <c r="D6" s="357" t="s">
        <v>1014</v>
      </c>
      <c r="E6" s="205"/>
      <c r="F6" s="169" t="s">
        <v>119</v>
      </c>
      <c r="G6" s="202" t="s">
        <v>128</v>
      </c>
      <c r="H6" s="169" t="str">
        <f t="shared" si="0"/>
        <v>BOPP BST</v>
      </c>
      <c r="I6" s="241">
        <v>949</v>
      </c>
      <c r="J6" s="202" t="s">
        <v>0</v>
      </c>
      <c r="K6" s="200">
        <v>12</v>
      </c>
      <c r="L6" s="202">
        <v>0.9</v>
      </c>
      <c r="M6" s="202">
        <f t="shared" si="1"/>
        <v>10.8</v>
      </c>
      <c r="N6" s="202" t="s">
        <v>147</v>
      </c>
      <c r="O6" s="169" t="str">
        <f t="shared" si="2"/>
        <v>949mmX12Mic BOPP BST</v>
      </c>
      <c r="P6" s="250" t="str">
        <f t="shared" si="3"/>
        <v>-</v>
      </c>
      <c r="Q6" s="203" t="s">
        <v>373</v>
      </c>
      <c r="R6" s="202"/>
      <c r="S6" s="169" t="str">
        <f>CONCATENATE(Q6," ",R6)</f>
        <v xml:space="preserve">Met BOPP(HSL) </v>
      </c>
      <c r="T6" s="241">
        <v>939</v>
      </c>
      <c r="U6" s="202" t="s">
        <v>0</v>
      </c>
      <c r="V6" s="202">
        <v>18</v>
      </c>
      <c r="W6" s="202">
        <v>0.9</v>
      </c>
      <c r="X6" s="202">
        <f>W6*V6</f>
        <v>16.2</v>
      </c>
      <c r="Y6" s="202"/>
      <c r="Z6" s="169" t="str">
        <f t="shared" si="4"/>
        <v xml:space="preserve">939mmx18mic Met BOPP(HSL) </v>
      </c>
      <c r="AA6" s="202"/>
      <c r="AB6" s="202"/>
      <c r="AC6" s="202"/>
      <c r="AD6" s="202"/>
      <c r="AE6" s="200"/>
      <c r="AF6" s="202"/>
      <c r="AG6" s="202"/>
      <c r="AH6" s="202"/>
      <c r="AI6" s="202">
        <f>AH6*AG6</f>
        <v>0</v>
      </c>
      <c r="AJ6" s="169"/>
      <c r="AK6" s="169" t="str">
        <f t="shared" si="12"/>
        <v xml:space="preserve">mmX mic </v>
      </c>
      <c r="AL6" s="122">
        <v>104787</v>
      </c>
      <c r="AM6" s="150">
        <v>104788</v>
      </c>
      <c r="AN6" s="150"/>
      <c r="AO6" s="202"/>
      <c r="AP6" s="202"/>
      <c r="AQ6" s="202"/>
      <c r="AR6" s="202"/>
      <c r="AS6" s="202"/>
      <c r="AT6" s="169"/>
      <c r="AU6" s="202"/>
      <c r="AV6" s="169"/>
      <c r="AW6" s="200"/>
      <c r="AX6" s="200"/>
      <c r="AY6" s="200"/>
      <c r="AZ6" s="202"/>
      <c r="BA6" s="200">
        <v>154</v>
      </c>
      <c r="BB6" s="201">
        <v>136</v>
      </c>
      <c r="BC6" s="202"/>
      <c r="BD6" s="202">
        <v>6</v>
      </c>
      <c r="BE6" s="200">
        <f t="shared" si="5"/>
        <v>924</v>
      </c>
      <c r="BF6" s="202">
        <v>1</v>
      </c>
      <c r="BG6" s="202">
        <f t="shared" si="6"/>
        <v>11.8</v>
      </c>
      <c r="BH6" s="202"/>
      <c r="BI6" s="202"/>
      <c r="BJ6" s="202"/>
      <c r="BK6" s="202"/>
      <c r="BL6" s="202"/>
      <c r="BM6" s="202"/>
      <c r="BN6" s="202"/>
      <c r="BO6" s="202"/>
      <c r="BP6" s="202"/>
      <c r="BQ6" s="202"/>
      <c r="BR6" s="202"/>
      <c r="BS6" s="202"/>
      <c r="BT6" s="202"/>
      <c r="BU6" s="202"/>
      <c r="BV6" s="202"/>
      <c r="BW6" s="202"/>
      <c r="BX6" s="202"/>
      <c r="BY6" s="202"/>
      <c r="BZ6" s="202"/>
      <c r="CA6" s="202"/>
      <c r="CB6" s="202"/>
      <c r="CC6" s="202"/>
      <c r="CD6" s="202"/>
      <c r="CE6" s="202"/>
      <c r="CF6" s="202"/>
      <c r="CG6" s="202"/>
      <c r="CH6" s="202"/>
      <c r="CI6" s="202"/>
      <c r="CJ6" s="202"/>
      <c r="CK6" s="202"/>
      <c r="CL6" s="202"/>
      <c r="CM6" s="202"/>
      <c r="CN6" s="202"/>
      <c r="CO6" s="202"/>
      <c r="CP6" s="202"/>
      <c r="CQ6" s="202"/>
      <c r="CR6" s="202"/>
      <c r="CS6" s="202"/>
      <c r="CT6" s="200">
        <f t="shared" si="7"/>
        <v>949</v>
      </c>
      <c r="CU6" s="207"/>
      <c r="CV6" s="202" t="str">
        <f t="shared" si="8"/>
        <v>ECL- Job</v>
      </c>
      <c r="CW6" s="202" t="s">
        <v>45</v>
      </c>
      <c r="CX6" s="202">
        <v>8</v>
      </c>
      <c r="CY6" s="202" t="s">
        <v>47</v>
      </c>
      <c r="CZ6" s="202"/>
      <c r="DA6" s="202"/>
      <c r="DB6" s="202"/>
      <c r="DC6" s="202">
        <f>M6+X6+BF6+CX6</f>
        <v>36</v>
      </c>
      <c r="DD6" s="202"/>
      <c r="DE6" s="202"/>
      <c r="DF6" s="202"/>
      <c r="DG6" s="202"/>
      <c r="DH6" s="202"/>
      <c r="DI6" s="202"/>
      <c r="DJ6" s="202"/>
      <c r="DK6" s="202"/>
      <c r="DL6" s="202"/>
      <c r="DM6" s="202"/>
      <c r="DN6" s="202"/>
      <c r="DO6" s="202"/>
      <c r="DP6" s="202"/>
      <c r="DQ6" s="202"/>
      <c r="DR6" s="202"/>
      <c r="DS6" s="202"/>
      <c r="DT6" s="202"/>
      <c r="DU6" s="202"/>
      <c r="DV6" s="202"/>
      <c r="DW6" s="202"/>
      <c r="DX6" s="202"/>
      <c r="DY6" s="202"/>
      <c r="DZ6" s="202"/>
      <c r="EA6" s="202"/>
      <c r="EB6" s="202"/>
      <c r="EC6" s="202"/>
      <c r="ED6" s="202" t="s">
        <v>172</v>
      </c>
      <c r="EE6" s="202"/>
      <c r="EF6" s="202"/>
      <c r="EG6" s="202"/>
      <c r="EH6" s="202"/>
      <c r="EI6" s="202"/>
      <c r="EJ6" s="200"/>
      <c r="EK6" s="241"/>
      <c r="EL6" s="201"/>
      <c r="EM6" s="202"/>
      <c r="EN6" s="202"/>
      <c r="EO6" s="202"/>
      <c r="EP6" s="202"/>
      <c r="EQ6" s="202"/>
      <c r="ER6" s="202"/>
      <c r="ES6" s="202"/>
      <c r="ET6" s="202"/>
      <c r="EU6" s="202"/>
      <c r="EV6" s="202"/>
      <c r="EW6" s="202"/>
      <c r="EX6" s="202"/>
      <c r="EY6" s="202"/>
      <c r="EZ6" s="202"/>
      <c r="FA6" s="202"/>
      <c r="FB6" s="202"/>
      <c r="FC6" s="202"/>
      <c r="FD6" s="202" t="s">
        <v>117</v>
      </c>
      <c r="FE6" s="202" t="s">
        <v>105</v>
      </c>
      <c r="FF6" s="202" t="s">
        <v>105</v>
      </c>
      <c r="FG6" s="202" t="s">
        <v>107</v>
      </c>
      <c r="FH6" s="202" t="s">
        <v>133</v>
      </c>
      <c r="FI6" s="202"/>
      <c r="FJ6" s="202"/>
      <c r="FK6" s="202"/>
      <c r="FL6" s="208">
        <v>1.05</v>
      </c>
      <c r="FM6" s="202"/>
      <c r="FN6" s="202"/>
      <c r="FO6" s="202" t="s">
        <v>235</v>
      </c>
      <c r="FP6" s="212">
        <f t="shared" si="9"/>
        <v>36</v>
      </c>
      <c r="FQ6" s="202" t="s">
        <v>107</v>
      </c>
      <c r="FR6" s="202" t="s">
        <v>133</v>
      </c>
      <c r="FS6" s="169" t="s">
        <v>163</v>
      </c>
      <c r="FT6" s="202"/>
      <c r="FU6" s="202"/>
      <c r="FV6" s="202"/>
      <c r="FW6" s="202"/>
      <c r="FX6" s="202"/>
      <c r="FY6" s="202"/>
      <c r="FZ6" s="202"/>
      <c r="GA6" s="202"/>
      <c r="GB6" s="202"/>
      <c r="GC6" s="200">
        <f t="shared" si="10"/>
        <v>25</v>
      </c>
      <c r="GD6" s="202" t="s">
        <v>168</v>
      </c>
      <c r="GE6" s="202"/>
      <c r="GF6" s="202"/>
      <c r="GG6" s="169"/>
      <c r="GH6" s="202"/>
      <c r="GI6" s="202"/>
      <c r="GJ6" s="202"/>
      <c r="GK6" s="202"/>
      <c r="GL6" s="202"/>
      <c r="GM6" s="387" t="str">
        <f t="shared" si="11"/>
        <v>JOB NAME-3</v>
      </c>
    </row>
    <row r="7" spans="1:201" s="209" customFormat="1" ht="15" customHeight="1">
      <c r="A7" s="171" t="s">
        <v>1009</v>
      </c>
      <c r="B7" s="372">
        <v>1008</v>
      </c>
      <c r="C7" s="205"/>
      <c r="D7" s="357" t="s">
        <v>1015</v>
      </c>
      <c r="E7" s="205"/>
      <c r="F7" s="169" t="s">
        <v>5</v>
      </c>
      <c r="G7" s="169" t="s">
        <v>103</v>
      </c>
      <c r="H7" s="169" t="str">
        <f t="shared" si="0"/>
        <v>PET Chemical</v>
      </c>
      <c r="I7" s="241">
        <v>1215</v>
      </c>
      <c r="J7" s="202" t="s">
        <v>0</v>
      </c>
      <c r="K7" s="200">
        <v>8</v>
      </c>
      <c r="L7" s="202">
        <v>1.4</v>
      </c>
      <c r="M7" s="202">
        <f t="shared" si="1"/>
        <v>11.2</v>
      </c>
      <c r="N7" s="202" t="s">
        <v>147</v>
      </c>
      <c r="O7" s="169" t="str">
        <f t="shared" si="2"/>
        <v>1215mmX8Mic PET Chemical</v>
      </c>
      <c r="P7" s="250" t="str">
        <f t="shared" si="3"/>
        <v>-</v>
      </c>
      <c r="Q7" s="203" t="s">
        <v>24</v>
      </c>
      <c r="R7" s="202" t="s">
        <v>103</v>
      </c>
      <c r="S7" s="169" t="str">
        <f>CONCATENATE(Q7," ",R7)</f>
        <v>Met Pet Chemical</v>
      </c>
      <c r="T7" s="241">
        <v>1210</v>
      </c>
      <c r="U7" s="202" t="s">
        <v>0</v>
      </c>
      <c r="V7" s="202">
        <v>8</v>
      </c>
      <c r="W7" s="202">
        <v>1.4</v>
      </c>
      <c r="X7" s="202">
        <f>V7*W7</f>
        <v>11.2</v>
      </c>
      <c r="Y7" s="202"/>
      <c r="Z7" s="169" t="str">
        <f t="shared" si="4"/>
        <v>1210mmx8mic Met Pet Chemical</v>
      </c>
      <c r="AA7" s="202"/>
      <c r="AB7" s="202" t="s">
        <v>134</v>
      </c>
      <c r="AC7" s="202" t="s">
        <v>155</v>
      </c>
      <c r="AD7" s="202" t="s">
        <v>261</v>
      </c>
      <c r="AE7" s="200">
        <v>1215</v>
      </c>
      <c r="AF7" s="202"/>
      <c r="AG7" s="202">
        <v>25</v>
      </c>
      <c r="AH7" s="202">
        <v>0.92</v>
      </c>
      <c r="AI7" s="202">
        <f>AH7*AG7</f>
        <v>23</v>
      </c>
      <c r="AJ7" s="169"/>
      <c r="AK7" s="169" t="str">
        <f t="shared" si="12"/>
        <v>1215mmX 25mic PE (Natural)</v>
      </c>
      <c r="AL7" s="122">
        <v>104399</v>
      </c>
      <c r="AM7" s="150">
        <v>104402</v>
      </c>
      <c r="AN7" s="150">
        <v>104432</v>
      </c>
      <c r="AO7" s="202"/>
      <c r="AP7" s="202"/>
      <c r="AQ7" s="202"/>
      <c r="AR7" s="202"/>
      <c r="AS7" s="202"/>
      <c r="AT7" s="169"/>
      <c r="AU7" s="202"/>
      <c r="AV7" s="169"/>
      <c r="AW7" s="200"/>
      <c r="AX7" s="200"/>
      <c r="AY7" s="200"/>
      <c r="AZ7" s="202"/>
      <c r="BA7" s="200">
        <v>240</v>
      </c>
      <c r="BB7" s="201">
        <v>176</v>
      </c>
      <c r="BC7" s="202"/>
      <c r="BD7" s="202">
        <v>5</v>
      </c>
      <c r="BE7" s="200">
        <f t="shared" si="5"/>
        <v>1200</v>
      </c>
      <c r="BF7" s="202">
        <v>1.2</v>
      </c>
      <c r="BG7" s="202">
        <f t="shared" si="6"/>
        <v>12.399999999999999</v>
      </c>
      <c r="BH7" s="202"/>
      <c r="BI7" s="202"/>
      <c r="BJ7" s="202"/>
      <c r="BK7" s="202"/>
      <c r="BL7" s="202"/>
      <c r="BM7" s="202"/>
      <c r="BN7" s="202"/>
      <c r="BO7" s="202"/>
      <c r="BP7" s="202"/>
      <c r="BQ7" s="202"/>
      <c r="BR7" s="202"/>
      <c r="BS7" s="202"/>
      <c r="BT7" s="202"/>
      <c r="BU7" s="202"/>
      <c r="BV7" s="202"/>
      <c r="BW7" s="202"/>
      <c r="BX7" s="202"/>
      <c r="BY7" s="202"/>
      <c r="BZ7" s="202"/>
      <c r="CA7" s="202"/>
      <c r="CB7" s="202"/>
      <c r="CC7" s="202"/>
      <c r="CD7" s="202"/>
      <c r="CE7" s="202"/>
      <c r="CF7" s="202"/>
      <c r="CG7" s="202"/>
      <c r="CH7" s="202"/>
      <c r="CI7" s="202"/>
      <c r="CJ7" s="202"/>
      <c r="CK7" s="202"/>
      <c r="CL7" s="202"/>
      <c r="CM7" s="202"/>
      <c r="CN7" s="202"/>
      <c r="CO7" s="202"/>
      <c r="CP7" s="202"/>
      <c r="CQ7" s="202"/>
      <c r="CR7" s="202"/>
      <c r="CS7" s="202"/>
      <c r="CT7" s="200">
        <f t="shared" si="7"/>
        <v>1215</v>
      </c>
      <c r="CU7" s="207"/>
      <c r="CV7" s="202" t="str">
        <f t="shared" si="8"/>
        <v>-</v>
      </c>
      <c r="CW7" s="202"/>
      <c r="CX7" s="202"/>
      <c r="CY7" s="202"/>
      <c r="CZ7" s="202"/>
      <c r="DA7" s="202"/>
      <c r="DB7" s="202"/>
      <c r="DC7" s="202"/>
      <c r="DD7" s="202"/>
      <c r="DE7" s="202"/>
      <c r="DF7" s="202"/>
      <c r="DG7" s="202"/>
      <c r="DH7" s="202"/>
      <c r="DI7" s="202"/>
      <c r="DJ7" s="202"/>
      <c r="DK7" s="202"/>
      <c r="DL7" s="202"/>
      <c r="DM7" s="202"/>
      <c r="DN7" s="202"/>
      <c r="DO7" s="202"/>
      <c r="DP7" s="202"/>
      <c r="DQ7" s="202"/>
      <c r="DR7" s="202"/>
      <c r="DS7" s="202"/>
      <c r="DT7" s="202"/>
      <c r="DU7" s="202"/>
      <c r="DV7" s="202"/>
      <c r="DW7" s="202"/>
      <c r="DX7" s="202"/>
      <c r="DY7" s="202"/>
      <c r="DZ7" s="202"/>
      <c r="EA7" s="202"/>
      <c r="EB7" s="202"/>
      <c r="EC7" s="202"/>
      <c r="ED7" s="202" t="s">
        <v>172</v>
      </c>
      <c r="EE7" s="202"/>
      <c r="EF7" s="202"/>
      <c r="EG7" s="202"/>
      <c r="EH7" s="202"/>
      <c r="EI7" s="202"/>
      <c r="EJ7" s="200"/>
      <c r="EK7" s="241"/>
      <c r="EL7" s="201"/>
      <c r="EM7" s="202"/>
      <c r="EN7" s="202"/>
      <c r="EO7" s="202"/>
      <c r="EP7" s="202"/>
      <c r="EQ7" s="202"/>
      <c r="ER7" s="202"/>
      <c r="ES7" s="202"/>
      <c r="ET7" s="202"/>
      <c r="EU7" s="202"/>
      <c r="EV7" s="202"/>
      <c r="EW7" s="202"/>
      <c r="EX7" s="202"/>
      <c r="EY7" s="202"/>
      <c r="EZ7" s="202"/>
      <c r="FA7" s="202"/>
      <c r="FB7" s="202"/>
      <c r="FC7" s="202"/>
      <c r="FD7" s="202" t="s">
        <v>138</v>
      </c>
      <c r="FE7" s="202" t="s">
        <v>138</v>
      </c>
      <c r="FF7" s="202" t="s">
        <v>225</v>
      </c>
      <c r="FG7" s="202" t="s">
        <v>143</v>
      </c>
      <c r="FH7" s="202"/>
      <c r="FI7" s="202" t="s">
        <v>143</v>
      </c>
      <c r="FJ7" s="202" t="s">
        <v>133</v>
      </c>
      <c r="FK7" s="202"/>
      <c r="FL7" s="208">
        <v>1.05</v>
      </c>
      <c r="FM7" s="202">
        <v>2.5</v>
      </c>
      <c r="FN7" s="202">
        <v>1.7</v>
      </c>
      <c r="FO7" s="202" t="s">
        <v>239</v>
      </c>
      <c r="FP7" s="212">
        <f t="shared" si="9"/>
        <v>26.099999999999998</v>
      </c>
      <c r="FQ7" s="202" t="s">
        <v>160</v>
      </c>
      <c r="FR7" s="202" t="s">
        <v>160</v>
      </c>
      <c r="FS7" s="169" t="s">
        <v>163</v>
      </c>
      <c r="FT7" s="202" t="s">
        <v>164</v>
      </c>
      <c r="FU7" s="202"/>
      <c r="FV7" s="202"/>
      <c r="FW7" s="202"/>
      <c r="FX7" s="202"/>
      <c r="FY7" s="202"/>
      <c r="FZ7" s="202"/>
      <c r="GA7" s="202"/>
      <c r="GB7" s="202"/>
      <c r="GC7" s="200">
        <f t="shared" si="10"/>
        <v>15</v>
      </c>
      <c r="GD7" s="202" t="s">
        <v>254</v>
      </c>
      <c r="GE7" s="202"/>
      <c r="GF7" s="202"/>
      <c r="GG7" s="169"/>
      <c r="GH7" s="202"/>
      <c r="GI7" s="202"/>
      <c r="GJ7" s="202"/>
      <c r="GK7" s="202"/>
      <c r="GL7" s="202"/>
      <c r="GM7" s="387" t="str">
        <f t="shared" si="11"/>
        <v>JOB NAME-4</v>
      </c>
    </row>
    <row r="8" spans="1:201" s="209" customFormat="1" ht="15" customHeight="1">
      <c r="A8" s="171" t="s">
        <v>1010</v>
      </c>
      <c r="B8" s="372">
        <v>1009</v>
      </c>
      <c r="C8" s="205"/>
      <c r="D8" s="357" t="s">
        <v>1016</v>
      </c>
      <c r="E8" s="205"/>
      <c r="F8" s="169" t="s">
        <v>5</v>
      </c>
      <c r="G8" s="202" t="s">
        <v>25</v>
      </c>
      <c r="H8" s="169" t="str">
        <f t="shared" si="0"/>
        <v>PET Corona</v>
      </c>
      <c r="I8" s="241">
        <v>1215</v>
      </c>
      <c r="J8" s="202" t="s">
        <v>0</v>
      </c>
      <c r="K8" s="200">
        <v>12</v>
      </c>
      <c r="L8" s="202">
        <v>1.4</v>
      </c>
      <c r="M8" s="202">
        <f t="shared" si="1"/>
        <v>16.799999999999997</v>
      </c>
      <c r="N8" s="202" t="s">
        <v>147</v>
      </c>
      <c r="O8" s="169" t="str">
        <f t="shared" si="2"/>
        <v>1215mmX12Mic PET Corona</v>
      </c>
      <c r="P8" s="202" t="str">
        <f t="shared" si="3"/>
        <v>-</v>
      </c>
      <c r="Q8" s="203" t="s">
        <v>24</v>
      </c>
      <c r="R8" s="202" t="s">
        <v>25</v>
      </c>
      <c r="S8" s="169" t="s">
        <v>260</v>
      </c>
      <c r="T8" s="241">
        <v>1210</v>
      </c>
      <c r="U8" s="202" t="s">
        <v>0</v>
      </c>
      <c r="V8" s="202">
        <v>12</v>
      </c>
      <c r="W8" s="202">
        <v>1.4</v>
      </c>
      <c r="X8" s="202">
        <f>W8*V8</f>
        <v>16.799999999999997</v>
      </c>
      <c r="Y8" s="202"/>
      <c r="Z8" s="169" t="str">
        <f t="shared" si="4"/>
        <v>1210mmx12mic Met Pet Corona</v>
      </c>
      <c r="AA8" s="202"/>
      <c r="AB8" s="202" t="s">
        <v>134</v>
      </c>
      <c r="AC8" s="202" t="s">
        <v>155</v>
      </c>
      <c r="AD8" s="202" t="str">
        <f>CONCATENATE(AB8," ",AC8)</f>
        <v>PE (Natural)</v>
      </c>
      <c r="AE8" s="200">
        <v>1215</v>
      </c>
      <c r="AF8" s="208">
        <f>1*AE8*AI8/1000000</f>
        <v>4.4712000000000009E-2</v>
      </c>
      <c r="AG8" s="202">
        <v>40</v>
      </c>
      <c r="AH8" s="202">
        <v>0.92</v>
      </c>
      <c r="AI8" s="202">
        <f>AH8*AG8</f>
        <v>36.800000000000004</v>
      </c>
      <c r="AJ8" s="204"/>
      <c r="AK8" s="169" t="str">
        <f t="shared" si="12"/>
        <v>1215mmX 40mic PE (Natural)</v>
      </c>
      <c r="AL8" s="122">
        <v>100019</v>
      </c>
      <c r="AM8" s="150">
        <v>104783</v>
      </c>
      <c r="AN8" s="150">
        <v>104847</v>
      </c>
      <c r="AO8" s="202"/>
      <c r="AP8" s="202"/>
      <c r="AQ8" s="202"/>
      <c r="AR8" s="202"/>
      <c r="AS8" s="202"/>
      <c r="AT8" s="169"/>
      <c r="AU8" s="202"/>
      <c r="AV8" s="169"/>
      <c r="AW8" s="200"/>
      <c r="AX8" s="200"/>
      <c r="AY8" s="200"/>
      <c r="AZ8" s="202"/>
      <c r="BA8" s="200">
        <v>200</v>
      </c>
      <c r="BB8" s="201">
        <v>145</v>
      </c>
      <c r="BC8" s="202"/>
      <c r="BD8" s="202">
        <v>6</v>
      </c>
      <c r="BE8" s="200">
        <f t="shared" si="5"/>
        <v>1200</v>
      </c>
      <c r="BF8" s="202">
        <v>1.2</v>
      </c>
      <c r="BG8" s="202">
        <f t="shared" si="6"/>
        <v>17.999999999999996</v>
      </c>
      <c r="BH8" s="202"/>
      <c r="BI8" s="202"/>
      <c r="BJ8" s="202"/>
      <c r="BK8" s="202"/>
      <c r="BL8" s="202"/>
      <c r="BM8" s="202"/>
      <c r="BN8" s="202"/>
      <c r="BO8" s="202"/>
      <c r="BP8" s="202"/>
      <c r="BQ8" s="202"/>
      <c r="BR8" s="202"/>
      <c r="BS8" s="202"/>
      <c r="BT8" s="202"/>
      <c r="BU8" s="202"/>
      <c r="BV8" s="202"/>
      <c r="BW8" s="202"/>
      <c r="BX8" s="202"/>
      <c r="BY8" s="202"/>
      <c r="BZ8" s="202"/>
      <c r="CA8" s="202"/>
      <c r="CB8" s="202"/>
      <c r="CC8" s="202"/>
      <c r="CD8" s="202"/>
      <c r="CE8" s="202"/>
      <c r="CF8" s="202"/>
      <c r="CG8" s="202"/>
      <c r="CH8" s="202"/>
      <c r="CI8" s="202"/>
      <c r="CJ8" s="202"/>
      <c r="CK8" s="202"/>
      <c r="CL8" s="202"/>
      <c r="CM8" s="202"/>
      <c r="CN8" s="202"/>
      <c r="CO8" s="202"/>
      <c r="CP8" s="202"/>
      <c r="CQ8" s="202"/>
      <c r="CR8" s="202"/>
      <c r="CS8" s="202"/>
      <c r="CT8" s="200">
        <f t="shared" si="7"/>
        <v>1215</v>
      </c>
      <c r="CU8" s="207"/>
      <c r="CV8" s="202" t="str">
        <f t="shared" si="8"/>
        <v>-</v>
      </c>
      <c r="CW8" s="202"/>
      <c r="CX8" s="202"/>
      <c r="CY8" s="202"/>
      <c r="CZ8" s="202"/>
      <c r="DA8" s="202"/>
      <c r="DB8" s="202"/>
      <c r="DC8" s="202"/>
      <c r="DD8" s="202"/>
      <c r="DE8" s="202"/>
      <c r="DF8" s="202"/>
      <c r="DG8" s="202"/>
      <c r="DH8" s="202"/>
      <c r="DI8" s="202"/>
      <c r="DJ8" s="202"/>
      <c r="DK8" s="202"/>
      <c r="DL8" s="202"/>
      <c r="DM8" s="202"/>
      <c r="DN8" s="202"/>
      <c r="DO8" s="202"/>
      <c r="DP8" s="202"/>
      <c r="DQ8" s="202"/>
      <c r="DR8" s="202"/>
      <c r="DS8" s="202"/>
      <c r="DT8" s="202"/>
      <c r="DU8" s="202"/>
      <c r="DV8" s="202"/>
      <c r="DW8" s="202"/>
      <c r="DX8" s="202"/>
      <c r="DY8" s="202"/>
      <c r="DZ8" s="202"/>
      <c r="EA8" s="202"/>
      <c r="EB8" s="202"/>
      <c r="EC8" s="202"/>
      <c r="ED8" s="202" t="s">
        <v>172</v>
      </c>
      <c r="EE8" s="202"/>
      <c r="EF8" s="202"/>
      <c r="EG8" s="202"/>
      <c r="EH8" s="202">
        <v>11.5</v>
      </c>
      <c r="EI8" s="202"/>
      <c r="EJ8" s="200"/>
      <c r="EK8" s="241"/>
      <c r="EL8" s="201"/>
      <c r="EM8" s="202"/>
      <c r="EN8" s="202"/>
      <c r="EO8" s="202"/>
      <c r="EP8" s="202"/>
      <c r="EQ8" s="202"/>
      <c r="ER8" s="202"/>
      <c r="ES8" s="202"/>
      <c r="ET8" s="202"/>
      <c r="EU8" s="202"/>
      <c r="EV8" s="202"/>
      <c r="EW8" s="202"/>
      <c r="EX8" s="202"/>
      <c r="EY8" s="202"/>
      <c r="EZ8" s="202"/>
      <c r="FA8" s="202"/>
      <c r="FB8" s="202"/>
      <c r="FC8" s="202"/>
      <c r="FD8" s="202" t="s">
        <v>138</v>
      </c>
      <c r="FE8" s="202" t="s">
        <v>138</v>
      </c>
      <c r="FF8" s="202" t="s">
        <v>225</v>
      </c>
      <c r="FG8" s="202" t="s">
        <v>143</v>
      </c>
      <c r="FH8" s="202"/>
      <c r="FI8" s="202" t="s">
        <v>143</v>
      </c>
      <c r="FJ8" s="202" t="s">
        <v>133</v>
      </c>
      <c r="FK8" s="202"/>
      <c r="FL8" s="208">
        <v>1.05</v>
      </c>
      <c r="FM8" s="202">
        <v>1.6</v>
      </c>
      <c r="FN8" s="202">
        <v>1.7</v>
      </c>
      <c r="FO8" s="202" t="s">
        <v>239</v>
      </c>
      <c r="FP8" s="212">
        <f t="shared" si="9"/>
        <v>36.399999999999991</v>
      </c>
      <c r="FQ8" s="202" t="s">
        <v>160</v>
      </c>
      <c r="FR8" s="202" t="s">
        <v>160</v>
      </c>
      <c r="FS8" s="169" t="s">
        <v>163</v>
      </c>
      <c r="FT8" s="202" t="s">
        <v>164</v>
      </c>
      <c r="FU8" s="202"/>
      <c r="FV8" s="202"/>
      <c r="FW8" s="202"/>
      <c r="FX8" s="202"/>
      <c r="FY8" s="202"/>
      <c r="FZ8" s="202"/>
      <c r="GA8" s="202"/>
      <c r="GB8" s="202"/>
      <c r="GC8" s="200">
        <f t="shared" si="10"/>
        <v>15</v>
      </c>
      <c r="GD8" s="202" t="s">
        <v>211</v>
      </c>
      <c r="GE8" s="202"/>
      <c r="GF8" s="202"/>
      <c r="GG8" s="169"/>
      <c r="GH8" s="202"/>
      <c r="GI8" s="202"/>
      <c r="GJ8" s="202"/>
      <c r="GK8" s="202"/>
      <c r="GL8" s="202"/>
      <c r="GM8" s="387" t="str">
        <f t="shared" si="11"/>
        <v>JOB NAME-5</v>
      </c>
    </row>
    <row r="9" spans="1:201" s="209" customFormat="1" ht="15" customHeight="1">
      <c r="A9" s="171" t="s">
        <v>1011</v>
      </c>
      <c r="B9" s="372">
        <v>1010</v>
      </c>
      <c r="C9" s="221"/>
      <c r="D9" s="357" t="s">
        <v>1017</v>
      </c>
      <c r="E9" s="109"/>
      <c r="F9" s="109" t="s">
        <v>5</v>
      </c>
      <c r="G9" s="202" t="s">
        <v>25</v>
      </c>
      <c r="H9" s="169" t="str">
        <f t="shared" si="0"/>
        <v>PET Corona</v>
      </c>
      <c r="I9" s="242">
        <v>1175</v>
      </c>
      <c r="J9" s="212" t="s">
        <v>0</v>
      </c>
      <c r="K9" s="210">
        <v>12</v>
      </c>
      <c r="L9" s="212">
        <v>1.4</v>
      </c>
      <c r="M9" s="212">
        <f t="shared" si="1"/>
        <v>16.799999999999997</v>
      </c>
      <c r="N9" s="212" t="s">
        <v>147</v>
      </c>
      <c r="O9" s="109" t="str">
        <f t="shared" si="2"/>
        <v>1175mmX12Mic PET Corona</v>
      </c>
      <c r="P9" s="212" t="str">
        <f t="shared" si="3"/>
        <v>-</v>
      </c>
      <c r="Q9" s="213" t="s">
        <v>134</v>
      </c>
      <c r="R9" s="212" t="s">
        <v>156</v>
      </c>
      <c r="S9" s="109" t="str">
        <f>CONCATENATE(Q9," ",R9)</f>
        <v>PE (White)</v>
      </c>
      <c r="T9" s="242">
        <v>1175</v>
      </c>
      <c r="U9" s="212" t="s">
        <v>0</v>
      </c>
      <c r="V9" s="212">
        <v>33</v>
      </c>
      <c r="W9" s="212">
        <v>0.94</v>
      </c>
      <c r="X9" s="212">
        <f>V9*W9</f>
        <v>31.02</v>
      </c>
      <c r="Y9" s="212"/>
      <c r="Z9" s="109" t="str">
        <f t="shared" si="4"/>
        <v>1175mmx33mic PE (White)</v>
      </c>
      <c r="AA9" s="212"/>
      <c r="AB9" s="212"/>
      <c r="AC9" s="212"/>
      <c r="AD9" s="212" t="str">
        <f>CONCATENATE(AB9," ",AC9)</f>
        <v xml:space="preserve"> </v>
      </c>
      <c r="AE9" s="210"/>
      <c r="AF9" s="212"/>
      <c r="AG9" s="212"/>
      <c r="AH9" s="212"/>
      <c r="AI9" s="212">
        <v>0</v>
      </c>
      <c r="AJ9" s="214"/>
      <c r="AK9" s="169" t="str">
        <f t="shared" si="12"/>
        <v xml:space="preserve">mmX mic  </v>
      </c>
      <c r="AL9" s="294">
        <v>100393</v>
      </c>
      <c r="AM9" s="295"/>
      <c r="AN9" s="150"/>
      <c r="AO9" s="212"/>
      <c r="AP9" s="212"/>
      <c r="AQ9" s="212"/>
      <c r="AR9" s="212"/>
      <c r="AS9" s="215"/>
      <c r="AT9" s="109"/>
      <c r="AU9" s="216"/>
      <c r="AV9" s="109" t="str">
        <f>IF(AL9=0,Z9,AK9)</f>
        <v xml:space="preserve">mmX mic  </v>
      </c>
      <c r="AW9" s="210">
        <v>6</v>
      </c>
      <c r="AX9" s="210">
        <v>1300</v>
      </c>
      <c r="AY9" s="210">
        <v>588</v>
      </c>
      <c r="AZ9" s="206" t="s">
        <v>118</v>
      </c>
      <c r="BA9" s="210">
        <v>232</v>
      </c>
      <c r="BB9" s="211">
        <v>120</v>
      </c>
      <c r="BC9" s="212"/>
      <c r="BD9" s="202">
        <v>5</v>
      </c>
      <c r="BE9" s="210">
        <f t="shared" si="5"/>
        <v>1160</v>
      </c>
      <c r="BF9" s="212">
        <v>1</v>
      </c>
      <c r="BG9" s="212">
        <f t="shared" si="6"/>
        <v>17.799999999999997</v>
      </c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7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0">
        <f>BE9+5</f>
        <v>1165</v>
      </c>
      <c r="CS9" s="210">
        <f>CT9-5</f>
        <v>1170</v>
      </c>
      <c r="CT9" s="210">
        <f t="shared" si="7"/>
        <v>1175</v>
      </c>
      <c r="CU9" s="207"/>
      <c r="CV9" s="212" t="str">
        <f t="shared" si="8"/>
        <v>-</v>
      </c>
      <c r="CW9" s="212"/>
      <c r="CX9" s="212"/>
      <c r="CY9" s="212"/>
      <c r="CZ9" s="212"/>
      <c r="DA9" s="212"/>
      <c r="DB9" s="212"/>
      <c r="DC9" s="212"/>
      <c r="DD9" s="210">
        <v>0</v>
      </c>
      <c r="DE9" s="212"/>
      <c r="DF9" s="212"/>
      <c r="DG9" s="212"/>
      <c r="DH9" s="212"/>
      <c r="DI9" s="212"/>
      <c r="DJ9" s="212"/>
      <c r="DK9" s="212"/>
      <c r="DL9" s="212"/>
      <c r="DM9" s="212"/>
      <c r="DN9" s="212"/>
      <c r="DO9" s="212"/>
      <c r="DP9" s="217">
        <v>300</v>
      </c>
      <c r="DQ9" s="212"/>
      <c r="DR9" s="212"/>
      <c r="DS9" s="212"/>
      <c r="DT9" s="212"/>
      <c r="DU9" s="212"/>
      <c r="DV9" s="212"/>
      <c r="DW9" s="212"/>
      <c r="DX9" s="212"/>
      <c r="DY9" s="212"/>
      <c r="DZ9" s="212"/>
      <c r="EA9" s="212"/>
      <c r="EB9" s="212"/>
      <c r="EC9" s="212"/>
      <c r="ED9" s="212" t="s">
        <v>172</v>
      </c>
      <c r="EE9" s="212"/>
      <c r="EF9" s="212"/>
      <c r="EG9" s="212"/>
      <c r="EH9" s="212"/>
      <c r="EI9" s="212"/>
      <c r="EJ9" s="212"/>
      <c r="EK9" s="242"/>
      <c r="EL9" s="211"/>
      <c r="EM9" s="212"/>
      <c r="EN9" s="210"/>
      <c r="EO9" s="212"/>
      <c r="EP9" s="212"/>
      <c r="EQ9" s="212"/>
      <c r="ER9" s="212"/>
      <c r="ES9" s="109"/>
      <c r="ET9" s="212"/>
      <c r="EU9" s="212"/>
      <c r="EV9" s="212"/>
      <c r="EW9" s="212"/>
      <c r="EX9" s="212"/>
      <c r="EY9" s="212"/>
      <c r="EZ9" s="212"/>
      <c r="FA9" s="212"/>
      <c r="FB9" s="212"/>
      <c r="FC9" s="212"/>
      <c r="FD9" s="212" t="s">
        <v>116</v>
      </c>
      <c r="FE9" s="212" t="s">
        <v>105</v>
      </c>
      <c r="FF9" s="212" t="s">
        <v>105</v>
      </c>
      <c r="FG9" s="202" t="s">
        <v>143</v>
      </c>
      <c r="FH9" s="212"/>
      <c r="FI9" s="212" t="s">
        <v>133</v>
      </c>
      <c r="FJ9" s="212"/>
      <c r="FK9" s="212"/>
      <c r="FL9" s="218">
        <v>1.0349999999999999</v>
      </c>
      <c r="FM9" s="212">
        <v>2.5</v>
      </c>
      <c r="FN9" s="212"/>
      <c r="FO9" s="212" t="s">
        <v>234</v>
      </c>
      <c r="FP9" s="212">
        <f>IF(CX9&gt;0,(BG9+CX9+X9),(BG9+FM9+X9))</f>
        <v>51.319999999999993</v>
      </c>
      <c r="FQ9" s="202" t="s">
        <v>160</v>
      </c>
      <c r="FR9" s="212"/>
      <c r="FS9" s="109" t="s">
        <v>163</v>
      </c>
      <c r="FT9" s="212"/>
      <c r="FU9" s="212"/>
      <c r="FV9" s="210">
        <f>IF(FD9="L",BE9+5,0)</f>
        <v>0</v>
      </c>
      <c r="FW9" s="210">
        <f>IF(FD9="B",BE9+5,0)</f>
        <v>1165</v>
      </c>
      <c r="FX9" s="210">
        <f>IF(FE9="L",BE9+5,0)</f>
        <v>0</v>
      </c>
      <c r="FY9" s="210">
        <f>IF(FE9="B",BE9+5,0)</f>
        <v>0</v>
      </c>
      <c r="FZ9" s="210">
        <f>IF(FV9&gt;0,FV9,FX9)</f>
        <v>0</v>
      </c>
      <c r="GA9" s="210">
        <f>IF(FW9&gt;0,FW9,FY9)</f>
        <v>1165</v>
      </c>
      <c r="GB9" s="212" t="e">
        <f>MATCH(GA9,#REF!,0)</f>
        <v>#REF!</v>
      </c>
      <c r="GC9" s="210">
        <f t="shared" si="10"/>
        <v>15</v>
      </c>
      <c r="GD9" s="202" t="s">
        <v>254</v>
      </c>
      <c r="GE9" s="212"/>
      <c r="GF9" s="212"/>
      <c r="GG9" s="109"/>
      <c r="GH9" s="212"/>
      <c r="GI9" s="212"/>
      <c r="GJ9" s="212"/>
      <c r="GK9" s="212"/>
      <c r="GL9" s="395"/>
      <c r="GM9" s="387" t="str">
        <f t="shared" si="11"/>
        <v>JOB NAME-6</v>
      </c>
      <c r="GN9" s="219"/>
      <c r="GO9" s="219"/>
      <c r="GP9" s="219"/>
      <c r="GQ9" s="219"/>
      <c r="GR9" s="219"/>
      <c r="GS9" s="219"/>
    </row>
    <row r="10" spans="1:201" s="209" customFormat="1">
      <c r="A10" s="171"/>
      <c r="B10" s="372"/>
      <c r="C10" s="205"/>
      <c r="D10" s="357"/>
      <c r="E10" s="205"/>
      <c r="F10" s="169"/>
      <c r="G10" s="202"/>
      <c r="H10" s="169" t="str">
        <f t="shared" ref="H10:H19" si="13">CONCATENATE(F10," ",G10)</f>
        <v xml:space="preserve"> </v>
      </c>
      <c r="I10" s="241"/>
      <c r="J10" s="202" t="s">
        <v>0</v>
      </c>
      <c r="K10" s="200"/>
      <c r="L10" s="202"/>
      <c r="M10" s="202">
        <f t="shared" ref="M10:M19" si="14">L10*K10</f>
        <v>0</v>
      </c>
      <c r="N10" s="202" t="s">
        <v>147</v>
      </c>
      <c r="O10" s="169" t="str">
        <f t="shared" ref="O10:O19" si="15">CONCATENATE(I10,"mm",,"X",K10,N10," ",F10," ",G10)</f>
        <v xml:space="preserve">mmXMic  </v>
      </c>
      <c r="P10" s="250" t="str">
        <f t="shared" ref="P10:P19" si="16">IF(T10=0,"SURFACE JOB","-")</f>
        <v>SURFACE JOB</v>
      </c>
      <c r="Q10" s="203"/>
      <c r="R10" s="202"/>
      <c r="S10" s="169" t="str">
        <f t="shared" ref="S10:S19" si="17">CONCATENATE(Q10," ",R10)</f>
        <v xml:space="preserve"> </v>
      </c>
      <c r="T10" s="241"/>
      <c r="U10" s="202" t="s">
        <v>0</v>
      </c>
      <c r="V10" s="202"/>
      <c r="W10" s="202"/>
      <c r="X10" s="202">
        <f t="shared" ref="X10:X19" si="18">W10*V10</f>
        <v>0</v>
      </c>
      <c r="Y10" s="202"/>
      <c r="Z10" s="169" t="str">
        <f t="shared" ref="Z10:Z19" si="19">CONCATENATE(T10,"mm","x",V10,"mic"," ",Q10," ",R10)</f>
        <v xml:space="preserve">mmxmic  </v>
      </c>
      <c r="AA10" s="202"/>
      <c r="AB10" s="202"/>
      <c r="AC10" s="202"/>
      <c r="AD10" s="202"/>
      <c r="AE10" s="200"/>
      <c r="AF10" s="202"/>
      <c r="AG10" s="202"/>
      <c r="AH10" s="202"/>
      <c r="AI10" s="202">
        <f t="shared" ref="AI10:AI19" si="20">AH10*AG10</f>
        <v>0</v>
      </c>
      <c r="AJ10" s="169"/>
      <c r="AK10" s="169"/>
      <c r="AL10" s="122"/>
      <c r="AM10" s="150"/>
      <c r="AN10" s="150"/>
      <c r="AO10" s="202"/>
      <c r="AP10" s="202"/>
      <c r="AQ10" s="202"/>
      <c r="AR10" s="202"/>
      <c r="AS10" s="202"/>
      <c r="AT10" s="169"/>
      <c r="AU10" s="202"/>
      <c r="AV10" s="169"/>
      <c r="AW10" s="200"/>
      <c r="AX10" s="200"/>
      <c r="AY10" s="200"/>
      <c r="AZ10" s="202"/>
      <c r="BA10" s="200"/>
      <c r="BB10" s="201"/>
      <c r="BC10" s="202"/>
      <c r="BD10" s="202"/>
      <c r="BE10" s="200">
        <f t="shared" ref="BE10:BE19" si="21">BA10*BD10</f>
        <v>0</v>
      </c>
      <c r="BF10" s="202"/>
      <c r="BG10" s="202">
        <f t="shared" ref="BG10:BG19" si="22">BF10+M10</f>
        <v>0</v>
      </c>
      <c r="BH10" s="202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2"/>
      <c r="CA10" s="202"/>
      <c r="CB10" s="202"/>
      <c r="CC10" s="202"/>
      <c r="CD10" s="202"/>
      <c r="CE10" s="202"/>
      <c r="CF10" s="202"/>
      <c r="CG10" s="202"/>
      <c r="CH10" s="202"/>
      <c r="CI10" s="202"/>
      <c r="CJ10" s="202"/>
      <c r="CK10" s="202"/>
      <c r="CL10" s="202"/>
      <c r="CM10" s="202"/>
      <c r="CN10" s="202"/>
      <c r="CO10" s="202"/>
      <c r="CP10" s="202"/>
      <c r="CQ10" s="202"/>
      <c r="CR10" s="202"/>
      <c r="CS10" s="202"/>
      <c r="CT10" s="200">
        <f t="shared" ref="CT10:CT19" si="23">I10</f>
        <v>0</v>
      </c>
      <c r="CU10" s="207"/>
      <c r="CV10" s="202" t="str">
        <f t="shared" ref="CV10:CV19" si="24">IF(CX10&gt;0,"ECL- Job","-")</f>
        <v>-</v>
      </c>
      <c r="CW10" s="202"/>
      <c r="CX10" s="202"/>
      <c r="CY10" s="202"/>
      <c r="CZ10" s="202"/>
      <c r="DA10" s="202"/>
      <c r="DB10" s="202"/>
      <c r="DC10" s="202"/>
      <c r="DD10" s="202"/>
      <c r="DE10" s="202"/>
      <c r="DF10" s="202"/>
      <c r="DG10" s="202"/>
      <c r="DH10" s="202"/>
      <c r="DI10" s="202"/>
      <c r="DJ10" s="202"/>
      <c r="DK10" s="202"/>
      <c r="DL10" s="202"/>
      <c r="DM10" s="202"/>
      <c r="DN10" s="202"/>
      <c r="DO10" s="202"/>
      <c r="DP10" s="202"/>
      <c r="DQ10" s="202"/>
      <c r="DR10" s="202"/>
      <c r="DS10" s="202"/>
      <c r="DT10" s="202"/>
      <c r="DU10" s="202"/>
      <c r="DV10" s="202"/>
      <c r="DW10" s="202"/>
      <c r="DX10" s="202"/>
      <c r="DY10" s="202"/>
      <c r="DZ10" s="202"/>
      <c r="EA10" s="202"/>
      <c r="EB10" s="202"/>
      <c r="EC10" s="202"/>
      <c r="ED10" s="202"/>
      <c r="EE10" s="202"/>
      <c r="EF10" s="202"/>
      <c r="EG10" s="202"/>
      <c r="EH10" s="202"/>
      <c r="EI10" s="202"/>
      <c r="EJ10" s="200"/>
      <c r="EK10" s="241"/>
      <c r="EL10" s="201"/>
      <c r="EM10" s="202"/>
      <c r="EN10" s="202"/>
      <c r="EO10" s="202"/>
      <c r="EP10" s="202"/>
      <c r="EQ10" s="202"/>
      <c r="ER10" s="202"/>
      <c r="ES10" s="202"/>
      <c r="ET10" s="202"/>
      <c r="EU10" s="202"/>
      <c r="EV10" s="202"/>
      <c r="EW10" s="202"/>
      <c r="EX10" s="202"/>
      <c r="EY10" s="202"/>
      <c r="EZ10" s="202"/>
      <c r="FA10" s="202"/>
      <c r="FB10" s="202"/>
      <c r="FC10" s="202"/>
      <c r="FD10" s="202"/>
      <c r="FE10" s="202"/>
      <c r="FF10" s="202"/>
      <c r="FG10" s="202"/>
      <c r="FH10" s="202"/>
      <c r="FI10" s="202"/>
      <c r="FJ10" s="202"/>
      <c r="FK10" s="202"/>
      <c r="FL10" s="208"/>
      <c r="FM10" s="202"/>
      <c r="FN10" s="202"/>
      <c r="FO10" s="202"/>
      <c r="FP10" s="212">
        <f t="shared" ref="FP10:FP19" si="25">IF(CX10&gt;0,(BG10+CX10+X10),(BG10+FM10+X10))</f>
        <v>0</v>
      </c>
      <c r="FQ10" s="202"/>
      <c r="FR10" s="202"/>
      <c r="FS10" s="169"/>
      <c r="FT10" s="202"/>
      <c r="FU10" s="202"/>
      <c r="FV10" s="202"/>
      <c r="FW10" s="202"/>
      <c r="FX10" s="202"/>
      <c r="FY10" s="202"/>
      <c r="FZ10" s="202"/>
      <c r="GA10" s="202"/>
      <c r="GB10" s="202"/>
      <c r="GC10" s="200">
        <f t="shared" ref="GC10:GC19" si="26">I10-BE10</f>
        <v>0</v>
      </c>
      <c r="GD10" s="202"/>
      <c r="GE10" s="202"/>
      <c r="GF10" s="202"/>
      <c r="GG10" s="169"/>
      <c r="GH10" s="202"/>
      <c r="GI10" s="202"/>
      <c r="GJ10" s="202"/>
      <c r="GK10" s="202"/>
      <c r="GL10" s="202"/>
      <c r="GM10" s="387">
        <f t="shared" ref="GM10:GM19" si="27">A10</f>
        <v>0</v>
      </c>
    </row>
    <row r="11" spans="1:201" s="209" customFormat="1">
      <c r="A11" s="171"/>
      <c r="B11" s="372"/>
      <c r="C11" s="205"/>
      <c r="D11" s="357"/>
      <c r="E11" s="205"/>
      <c r="F11" s="169"/>
      <c r="G11" s="202"/>
      <c r="H11" s="169" t="str">
        <f t="shared" si="13"/>
        <v xml:space="preserve"> </v>
      </c>
      <c r="I11" s="241"/>
      <c r="J11" s="202" t="s">
        <v>0</v>
      </c>
      <c r="K11" s="200"/>
      <c r="L11" s="202"/>
      <c r="M11" s="202">
        <f t="shared" si="14"/>
        <v>0</v>
      </c>
      <c r="N11" s="202" t="s">
        <v>147</v>
      </c>
      <c r="O11" s="169" t="str">
        <f t="shared" si="15"/>
        <v xml:space="preserve">mmXMic  </v>
      </c>
      <c r="P11" s="250" t="str">
        <f t="shared" si="16"/>
        <v>SURFACE JOB</v>
      </c>
      <c r="Q11" s="203"/>
      <c r="R11" s="202"/>
      <c r="S11" s="169" t="str">
        <f t="shared" si="17"/>
        <v xml:space="preserve"> </v>
      </c>
      <c r="T11" s="241"/>
      <c r="U11" s="202" t="s">
        <v>0</v>
      </c>
      <c r="V11" s="202"/>
      <c r="W11" s="202"/>
      <c r="X11" s="202">
        <f t="shared" si="18"/>
        <v>0</v>
      </c>
      <c r="Y11" s="202"/>
      <c r="Z11" s="169" t="str">
        <f t="shared" si="19"/>
        <v xml:space="preserve">mmxmic  </v>
      </c>
      <c r="AA11" s="202"/>
      <c r="AB11" s="202"/>
      <c r="AC11" s="202"/>
      <c r="AD11" s="202"/>
      <c r="AE11" s="200"/>
      <c r="AF11" s="202"/>
      <c r="AG11" s="202"/>
      <c r="AH11" s="202"/>
      <c r="AI11" s="202">
        <f t="shared" si="20"/>
        <v>0</v>
      </c>
      <c r="AJ11" s="169"/>
      <c r="AK11" s="169"/>
      <c r="AL11" s="122"/>
      <c r="AM11" s="150"/>
      <c r="AN11" s="150"/>
      <c r="AO11" s="202"/>
      <c r="AP11" s="202"/>
      <c r="AQ11" s="202"/>
      <c r="AR11" s="202"/>
      <c r="AS11" s="202"/>
      <c r="AT11" s="169"/>
      <c r="AU11" s="202"/>
      <c r="AV11" s="169"/>
      <c r="AW11" s="200"/>
      <c r="AX11" s="200"/>
      <c r="AY11" s="200"/>
      <c r="AZ11" s="202"/>
      <c r="BA11" s="200"/>
      <c r="BB11" s="201"/>
      <c r="BC11" s="202"/>
      <c r="BD11" s="202"/>
      <c r="BE11" s="200">
        <f t="shared" si="21"/>
        <v>0</v>
      </c>
      <c r="BF11" s="202"/>
      <c r="BG11" s="202">
        <f t="shared" si="22"/>
        <v>0</v>
      </c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2"/>
      <c r="CH11" s="202"/>
      <c r="CI11" s="202"/>
      <c r="CJ11" s="202"/>
      <c r="CK11" s="202"/>
      <c r="CL11" s="202"/>
      <c r="CM11" s="202"/>
      <c r="CN11" s="202"/>
      <c r="CO11" s="202"/>
      <c r="CP11" s="202"/>
      <c r="CQ11" s="202"/>
      <c r="CR11" s="202"/>
      <c r="CS11" s="202"/>
      <c r="CT11" s="200">
        <f t="shared" si="23"/>
        <v>0</v>
      </c>
      <c r="CU11" s="207"/>
      <c r="CV11" s="202" t="str">
        <f t="shared" si="24"/>
        <v>-</v>
      </c>
      <c r="CW11" s="202"/>
      <c r="CX11" s="202"/>
      <c r="CY11" s="202"/>
      <c r="CZ11" s="202"/>
      <c r="DA11" s="202"/>
      <c r="DB11" s="202"/>
      <c r="DC11" s="202"/>
      <c r="DD11" s="202"/>
      <c r="DE11" s="202"/>
      <c r="DF11" s="202"/>
      <c r="DG11" s="202"/>
      <c r="DH11" s="202"/>
      <c r="DI11" s="202"/>
      <c r="DJ11" s="202"/>
      <c r="DK11" s="202"/>
      <c r="DL11" s="202"/>
      <c r="DM11" s="202"/>
      <c r="DN11" s="202"/>
      <c r="DO11" s="202"/>
      <c r="DP11" s="202"/>
      <c r="DQ11" s="202"/>
      <c r="DR11" s="202"/>
      <c r="DS11" s="202"/>
      <c r="DT11" s="202"/>
      <c r="DU11" s="202"/>
      <c r="DV11" s="202"/>
      <c r="DW11" s="202"/>
      <c r="DX11" s="202"/>
      <c r="DY11" s="202"/>
      <c r="DZ11" s="202"/>
      <c r="EA11" s="202"/>
      <c r="EB11" s="202"/>
      <c r="EC11" s="202"/>
      <c r="ED11" s="202"/>
      <c r="EE11" s="202"/>
      <c r="EF11" s="202"/>
      <c r="EG11" s="202"/>
      <c r="EH11" s="202"/>
      <c r="EI11" s="202"/>
      <c r="EJ11" s="200"/>
      <c r="EK11" s="241"/>
      <c r="EL11" s="201"/>
      <c r="EM11" s="202"/>
      <c r="EN11" s="202"/>
      <c r="EO11" s="202"/>
      <c r="EP11" s="202"/>
      <c r="EQ11" s="202"/>
      <c r="ER11" s="202"/>
      <c r="ES11" s="202"/>
      <c r="ET11" s="202"/>
      <c r="EU11" s="202"/>
      <c r="EV11" s="202"/>
      <c r="EW11" s="202"/>
      <c r="EX11" s="202"/>
      <c r="EY11" s="202"/>
      <c r="EZ11" s="202"/>
      <c r="FA11" s="202"/>
      <c r="FB11" s="202"/>
      <c r="FC11" s="202"/>
      <c r="FD11" s="202"/>
      <c r="FE11" s="202"/>
      <c r="FF11" s="202"/>
      <c r="FG11" s="202"/>
      <c r="FH11" s="202"/>
      <c r="FI11" s="202"/>
      <c r="FJ11" s="202"/>
      <c r="FK11" s="202"/>
      <c r="FL11" s="208"/>
      <c r="FM11" s="202"/>
      <c r="FN11" s="202"/>
      <c r="FO11" s="202"/>
      <c r="FP11" s="212">
        <f t="shared" si="25"/>
        <v>0</v>
      </c>
      <c r="FQ11" s="202"/>
      <c r="FR11" s="202"/>
      <c r="FS11" s="169"/>
      <c r="FT11" s="202"/>
      <c r="FU11" s="202"/>
      <c r="FV11" s="202"/>
      <c r="FW11" s="202"/>
      <c r="FX11" s="202"/>
      <c r="FY11" s="202"/>
      <c r="FZ11" s="202"/>
      <c r="GA11" s="202"/>
      <c r="GB11" s="202"/>
      <c r="GC11" s="200">
        <f t="shared" si="26"/>
        <v>0</v>
      </c>
      <c r="GD11" s="202"/>
      <c r="GE11" s="202"/>
      <c r="GF11" s="202"/>
      <c r="GG11" s="169"/>
      <c r="GH11" s="202"/>
      <c r="GI11" s="202"/>
      <c r="GJ11" s="202"/>
      <c r="GK11" s="202"/>
      <c r="GL11" s="202"/>
      <c r="GM11" s="387">
        <f t="shared" si="27"/>
        <v>0</v>
      </c>
    </row>
    <row r="12" spans="1:201" s="209" customFormat="1">
      <c r="A12" s="171"/>
      <c r="B12" s="372"/>
      <c r="C12" s="205"/>
      <c r="D12" s="357"/>
      <c r="E12" s="205"/>
      <c r="F12" s="169"/>
      <c r="G12" s="202"/>
      <c r="H12" s="169" t="str">
        <f t="shared" si="13"/>
        <v xml:space="preserve"> </v>
      </c>
      <c r="I12" s="241"/>
      <c r="J12" s="202" t="s">
        <v>0</v>
      </c>
      <c r="K12" s="200"/>
      <c r="L12" s="202"/>
      <c r="M12" s="202">
        <f t="shared" si="14"/>
        <v>0</v>
      </c>
      <c r="N12" s="202" t="s">
        <v>147</v>
      </c>
      <c r="O12" s="169" t="str">
        <f t="shared" si="15"/>
        <v xml:space="preserve">mmXMic  </v>
      </c>
      <c r="P12" s="250" t="str">
        <f t="shared" si="16"/>
        <v>SURFACE JOB</v>
      </c>
      <c r="Q12" s="203"/>
      <c r="R12" s="202"/>
      <c r="S12" s="169" t="str">
        <f t="shared" si="17"/>
        <v xml:space="preserve"> </v>
      </c>
      <c r="T12" s="241"/>
      <c r="U12" s="202" t="s">
        <v>0</v>
      </c>
      <c r="V12" s="202"/>
      <c r="W12" s="202"/>
      <c r="X12" s="202">
        <f t="shared" si="18"/>
        <v>0</v>
      </c>
      <c r="Y12" s="202"/>
      <c r="Z12" s="169" t="str">
        <f t="shared" si="19"/>
        <v xml:space="preserve">mmxmic  </v>
      </c>
      <c r="AA12" s="202"/>
      <c r="AB12" s="202"/>
      <c r="AC12" s="202"/>
      <c r="AD12" s="202"/>
      <c r="AE12" s="200"/>
      <c r="AF12" s="202"/>
      <c r="AG12" s="202"/>
      <c r="AH12" s="202"/>
      <c r="AI12" s="202">
        <f t="shared" si="20"/>
        <v>0</v>
      </c>
      <c r="AJ12" s="169"/>
      <c r="AK12" s="169"/>
      <c r="AL12" s="122"/>
      <c r="AM12" s="150"/>
      <c r="AN12" s="150"/>
      <c r="AO12" s="202"/>
      <c r="AP12" s="202"/>
      <c r="AQ12" s="202"/>
      <c r="AR12" s="202"/>
      <c r="AS12" s="202"/>
      <c r="AT12" s="169"/>
      <c r="AU12" s="202"/>
      <c r="AV12" s="169"/>
      <c r="AW12" s="200"/>
      <c r="AX12" s="200"/>
      <c r="AY12" s="200"/>
      <c r="AZ12" s="202"/>
      <c r="BA12" s="200"/>
      <c r="BB12" s="201"/>
      <c r="BC12" s="202"/>
      <c r="BD12" s="202"/>
      <c r="BE12" s="200">
        <f t="shared" si="21"/>
        <v>0</v>
      </c>
      <c r="BF12" s="202"/>
      <c r="BG12" s="202">
        <f t="shared" si="22"/>
        <v>0</v>
      </c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2"/>
      <c r="CH12" s="202"/>
      <c r="CI12" s="202"/>
      <c r="CJ12" s="202"/>
      <c r="CK12" s="202"/>
      <c r="CL12" s="202"/>
      <c r="CM12" s="202"/>
      <c r="CN12" s="202"/>
      <c r="CO12" s="202"/>
      <c r="CP12" s="202"/>
      <c r="CQ12" s="202"/>
      <c r="CR12" s="202"/>
      <c r="CS12" s="202"/>
      <c r="CT12" s="200">
        <f t="shared" si="23"/>
        <v>0</v>
      </c>
      <c r="CU12" s="207"/>
      <c r="CV12" s="202" t="str">
        <f t="shared" si="24"/>
        <v>-</v>
      </c>
      <c r="CW12" s="202"/>
      <c r="CX12" s="202"/>
      <c r="CY12" s="202"/>
      <c r="CZ12" s="202"/>
      <c r="DA12" s="202"/>
      <c r="DB12" s="202"/>
      <c r="DC12" s="202"/>
      <c r="DD12" s="202"/>
      <c r="DE12" s="202"/>
      <c r="DF12" s="202"/>
      <c r="DG12" s="202"/>
      <c r="DH12" s="202"/>
      <c r="DI12" s="202"/>
      <c r="DJ12" s="202"/>
      <c r="DK12" s="202"/>
      <c r="DL12" s="202"/>
      <c r="DM12" s="202"/>
      <c r="DN12" s="202"/>
      <c r="DO12" s="202"/>
      <c r="DP12" s="202"/>
      <c r="DQ12" s="202"/>
      <c r="DR12" s="202"/>
      <c r="DS12" s="202"/>
      <c r="DT12" s="202"/>
      <c r="DU12" s="202"/>
      <c r="DV12" s="202"/>
      <c r="DW12" s="202"/>
      <c r="DX12" s="202"/>
      <c r="DY12" s="202"/>
      <c r="DZ12" s="202"/>
      <c r="EA12" s="202"/>
      <c r="EB12" s="202"/>
      <c r="EC12" s="202"/>
      <c r="ED12" s="202"/>
      <c r="EE12" s="202"/>
      <c r="EF12" s="202"/>
      <c r="EG12" s="202"/>
      <c r="EH12" s="202"/>
      <c r="EI12" s="202"/>
      <c r="EJ12" s="200"/>
      <c r="EK12" s="241"/>
      <c r="EL12" s="201"/>
      <c r="EM12" s="202"/>
      <c r="EN12" s="202"/>
      <c r="EO12" s="202"/>
      <c r="EP12" s="202"/>
      <c r="EQ12" s="202"/>
      <c r="ER12" s="202"/>
      <c r="ES12" s="202"/>
      <c r="ET12" s="202"/>
      <c r="EU12" s="202"/>
      <c r="EV12" s="202"/>
      <c r="EW12" s="202"/>
      <c r="EX12" s="202"/>
      <c r="EY12" s="202"/>
      <c r="EZ12" s="202"/>
      <c r="FA12" s="202"/>
      <c r="FB12" s="202"/>
      <c r="FC12" s="202"/>
      <c r="FD12" s="202"/>
      <c r="FE12" s="202"/>
      <c r="FF12" s="202"/>
      <c r="FG12" s="202"/>
      <c r="FH12" s="202"/>
      <c r="FI12" s="202"/>
      <c r="FJ12" s="202"/>
      <c r="FK12" s="202"/>
      <c r="FL12" s="208"/>
      <c r="FM12" s="202"/>
      <c r="FN12" s="202"/>
      <c r="FO12" s="202"/>
      <c r="FP12" s="212">
        <f t="shared" si="25"/>
        <v>0</v>
      </c>
      <c r="FQ12" s="202"/>
      <c r="FR12" s="202"/>
      <c r="FS12" s="169"/>
      <c r="FT12" s="202"/>
      <c r="FU12" s="202"/>
      <c r="FV12" s="202"/>
      <c r="FW12" s="202"/>
      <c r="FX12" s="202"/>
      <c r="FY12" s="202"/>
      <c r="FZ12" s="202"/>
      <c r="GA12" s="202"/>
      <c r="GB12" s="202"/>
      <c r="GC12" s="200">
        <f t="shared" si="26"/>
        <v>0</v>
      </c>
      <c r="GD12" s="202"/>
      <c r="GE12" s="202"/>
      <c r="GF12" s="202"/>
      <c r="GG12" s="169"/>
      <c r="GH12" s="202"/>
      <c r="GI12" s="202"/>
      <c r="GJ12" s="202"/>
      <c r="GK12" s="202"/>
      <c r="GL12" s="202"/>
      <c r="GM12" s="387">
        <f t="shared" si="27"/>
        <v>0</v>
      </c>
    </row>
    <row r="13" spans="1:201" s="209" customFormat="1">
      <c r="A13" s="171"/>
      <c r="B13" s="372"/>
      <c r="C13" s="205"/>
      <c r="D13" s="357"/>
      <c r="E13" s="205"/>
      <c r="F13" s="169"/>
      <c r="G13" s="202"/>
      <c r="H13" s="169" t="str">
        <f t="shared" si="13"/>
        <v xml:space="preserve"> </v>
      </c>
      <c r="I13" s="241"/>
      <c r="J13" s="202" t="s">
        <v>0</v>
      </c>
      <c r="K13" s="200"/>
      <c r="L13" s="202"/>
      <c r="M13" s="202">
        <f t="shared" si="14"/>
        <v>0</v>
      </c>
      <c r="N13" s="202" t="s">
        <v>147</v>
      </c>
      <c r="O13" s="169" t="str">
        <f t="shared" si="15"/>
        <v xml:space="preserve">mmXMic  </v>
      </c>
      <c r="P13" s="250" t="str">
        <f t="shared" si="16"/>
        <v>SURFACE JOB</v>
      </c>
      <c r="Q13" s="203"/>
      <c r="R13" s="202"/>
      <c r="S13" s="169" t="str">
        <f t="shared" si="17"/>
        <v xml:space="preserve"> </v>
      </c>
      <c r="T13" s="241"/>
      <c r="U13" s="202" t="s">
        <v>0</v>
      </c>
      <c r="V13" s="202"/>
      <c r="W13" s="202"/>
      <c r="X13" s="202">
        <f t="shared" si="18"/>
        <v>0</v>
      </c>
      <c r="Y13" s="202"/>
      <c r="Z13" s="169" t="str">
        <f t="shared" si="19"/>
        <v xml:space="preserve">mmxmic  </v>
      </c>
      <c r="AA13" s="202"/>
      <c r="AB13" s="202"/>
      <c r="AC13" s="202"/>
      <c r="AD13" s="202"/>
      <c r="AE13" s="200"/>
      <c r="AF13" s="202"/>
      <c r="AG13" s="202"/>
      <c r="AH13" s="202"/>
      <c r="AI13" s="202">
        <f t="shared" si="20"/>
        <v>0</v>
      </c>
      <c r="AJ13" s="169"/>
      <c r="AK13" s="169"/>
      <c r="AL13" s="122"/>
      <c r="AM13" s="150"/>
      <c r="AN13" s="150"/>
      <c r="AO13" s="202"/>
      <c r="AP13" s="202"/>
      <c r="AQ13" s="202"/>
      <c r="AR13" s="202"/>
      <c r="AS13" s="202"/>
      <c r="AT13" s="169"/>
      <c r="AU13" s="202"/>
      <c r="AV13" s="169"/>
      <c r="AW13" s="200"/>
      <c r="AX13" s="200"/>
      <c r="AY13" s="200"/>
      <c r="AZ13" s="202"/>
      <c r="BA13" s="200"/>
      <c r="BB13" s="201"/>
      <c r="BC13" s="202"/>
      <c r="BD13" s="202"/>
      <c r="BE13" s="200">
        <f t="shared" si="21"/>
        <v>0</v>
      </c>
      <c r="BF13" s="202"/>
      <c r="BG13" s="202">
        <f t="shared" si="22"/>
        <v>0</v>
      </c>
      <c r="BH13" s="202"/>
      <c r="BI13" s="202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202"/>
      <c r="CC13" s="202"/>
      <c r="CD13" s="202"/>
      <c r="CE13" s="202"/>
      <c r="CF13" s="202"/>
      <c r="CG13" s="202"/>
      <c r="CH13" s="202"/>
      <c r="CI13" s="202"/>
      <c r="CJ13" s="202"/>
      <c r="CK13" s="202"/>
      <c r="CL13" s="202"/>
      <c r="CM13" s="202"/>
      <c r="CN13" s="202"/>
      <c r="CO13" s="202"/>
      <c r="CP13" s="202"/>
      <c r="CQ13" s="202"/>
      <c r="CR13" s="202"/>
      <c r="CS13" s="202"/>
      <c r="CT13" s="200">
        <f t="shared" si="23"/>
        <v>0</v>
      </c>
      <c r="CU13" s="207"/>
      <c r="CV13" s="202" t="str">
        <f t="shared" si="24"/>
        <v>-</v>
      </c>
      <c r="CW13" s="202"/>
      <c r="CX13" s="202"/>
      <c r="CY13" s="202"/>
      <c r="CZ13" s="202"/>
      <c r="DA13" s="202"/>
      <c r="DB13" s="202"/>
      <c r="DC13" s="202"/>
      <c r="DD13" s="202"/>
      <c r="DE13" s="202"/>
      <c r="DF13" s="202"/>
      <c r="DG13" s="202"/>
      <c r="DH13" s="202"/>
      <c r="DI13" s="202"/>
      <c r="DJ13" s="202"/>
      <c r="DK13" s="202"/>
      <c r="DL13" s="202"/>
      <c r="DM13" s="202"/>
      <c r="DN13" s="202"/>
      <c r="DO13" s="202"/>
      <c r="DP13" s="202"/>
      <c r="DQ13" s="202"/>
      <c r="DR13" s="202"/>
      <c r="DS13" s="202"/>
      <c r="DT13" s="202"/>
      <c r="DU13" s="202"/>
      <c r="DV13" s="202"/>
      <c r="DW13" s="202"/>
      <c r="DX13" s="202"/>
      <c r="DY13" s="202"/>
      <c r="DZ13" s="202"/>
      <c r="EA13" s="202"/>
      <c r="EB13" s="202"/>
      <c r="EC13" s="202"/>
      <c r="ED13" s="202"/>
      <c r="EE13" s="202"/>
      <c r="EF13" s="202"/>
      <c r="EG13" s="202"/>
      <c r="EH13" s="202"/>
      <c r="EI13" s="202"/>
      <c r="EJ13" s="200"/>
      <c r="EK13" s="241"/>
      <c r="EL13" s="201"/>
      <c r="EM13" s="202"/>
      <c r="EN13" s="202"/>
      <c r="EO13" s="202"/>
      <c r="EP13" s="202"/>
      <c r="EQ13" s="202"/>
      <c r="ER13" s="202"/>
      <c r="ES13" s="202"/>
      <c r="ET13" s="202"/>
      <c r="EU13" s="202"/>
      <c r="EV13" s="202"/>
      <c r="EW13" s="202"/>
      <c r="EX13" s="202"/>
      <c r="EY13" s="202"/>
      <c r="EZ13" s="202"/>
      <c r="FA13" s="202"/>
      <c r="FB13" s="202"/>
      <c r="FC13" s="202"/>
      <c r="FD13" s="202"/>
      <c r="FE13" s="202"/>
      <c r="FF13" s="202"/>
      <c r="FG13" s="202"/>
      <c r="FH13" s="202"/>
      <c r="FI13" s="202"/>
      <c r="FJ13" s="202"/>
      <c r="FK13" s="202"/>
      <c r="FL13" s="208"/>
      <c r="FM13" s="202"/>
      <c r="FN13" s="202"/>
      <c r="FO13" s="202"/>
      <c r="FP13" s="212">
        <f t="shared" si="25"/>
        <v>0</v>
      </c>
      <c r="FQ13" s="202"/>
      <c r="FR13" s="202"/>
      <c r="FS13" s="169"/>
      <c r="FT13" s="202"/>
      <c r="FU13" s="202"/>
      <c r="FV13" s="202"/>
      <c r="FW13" s="202"/>
      <c r="FX13" s="202"/>
      <c r="FY13" s="202"/>
      <c r="FZ13" s="202"/>
      <c r="GA13" s="202"/>
      <c r="GB13" s="202"/>
      <c r="GC13" s="200">
        <f t="shared" si="26"/>
        <v>0</v>
      </c>
      <c r="GD13" s="202"/>
      <c r="GE13" s="202"/>
      <c r="GF13" s="202"/>
      <c r="GG13" s="169"/>
      <c r="GH13" s="202"/>
      <c r="GI13" s="202"/>
      <c r="GJ13" s="202"/>
      <c r="GK13" s="202"/>
      <c r="GL13" s="202"/>
      <c r="GM13" s="387">
        <f t="shared" si="27"/>
        <v>0</v>
      </c>
    </row>
    <row r="14" spans="1:201" s="209" customFormat="1">
      <c r="A14" s="171"/>
      <c r="B14" s="372"/>
      <c r="C14" s="205"/>
      <c r="D14" s="357"/>
      <c r="E14" s="205"/>
      <c r="F14" s="169"/>
      <c r="G14" s="202"/>
      <c r="H14" s="169" t="str">
        <f t="shared" si="13"/>
        <v xml:space="preserve"> </v>
      </c>
      <c r="I14" s="241"/>
      <c r="J14" s="202" t="s">
        <v>0</v>
      </c>
      <c r="K14" s="200"/>
      <c r="L14" s="202"/>
      <c r="M14" s="202">
        <f t="shared" si="14"/>
        <v>0</v>
      </c>
      <c r="N14" s="202" t="s">
        <v>147</v>
      </c>
      <c r="O14" s="169" t="str">
        <f t="shared" si="15"/>
        <v xml:space="preserve">mmXMic  </v>
      </c>
      <c r="P14" s="250" t="str">
        <f t="shared" si="16"/>
        <v>SURFACE JOB</v>
      </c>
      <c r="Q14" s="203"/>
      <c r="R14" s="202"/>
      <c r="S14" s="169" t="str">
        <f t="shared" si="17"/>
        <v xml:space="preserve"> </v>
      </c>
      <c r="T14" s="241"/>
      <c r="U14" s="202" t="s">
        <v>0</v>
      </c>
      <c r="V14" s="202"/>
      <c r="W14" s="202"/>
      <c r="X14" s="202">
        <f t="shared" si="18"/>
        <v>0</v>
      </c>
      <c r="Y14" s="202"/>
      <c r="Z14" s="169" t="str">
        <f t="shared" si="19"/>
        <v xml:space="preserve">mmxmic  </v>
      </c>
      <c r="AA14" s="202"/>
      <c r="AB14" s="202"/>
      <c r="AC14" s="202"/>
      <c r="AD14" s="202"/>
      <c r="AE14" s="200"/>
      <c r="AF14" s="202"/>
      <c r="AG14" s="202"/>
      <c r="AH14" s="202"/>
      <c r="AI14" s="202">
        <f t="shared" si="20"/>
        <v>0</v>
      </c>
      <c r="AJ14" s="169"/>
      <c r="AK14" s="169"/>
      <c r="AL14" s="122"/>
      <c r="AM14" s="150"/>
      <c r="AN14" s="150"/>
      <c r="AO14" s="202"/>
      <c r="AP14" s="202"/>
      <c r="AQ14" s="202"/>
      <c r="AR14" s="202"/>
      <c r="AS14" s="202"/>
      <c r="AT14" s="169"/>
      <c r="AU14" s="202"/>
      <c r="AV14" s="169"/>
      <c r="AW14" s="200"/>
      <c r="AX14" s="200"/>
      <c r="AY14" s="200"/>
      <c r="AZ14" s="202"/>
      <c r="BA14" s="200"/>
      <c r="BB14" s="201"/>
      <c r="BC14" s="202"/>
      <c r="BD14" s="202"/>
      <c r="BE14" s="200">
        <f t="shared" si="21"/>
        <v>0</v>
      </c>
      <c r="BF14" s="202"/>
      <c r="BG14" s="202">
        <f t="shared" si="22"/>
        <v>0</v>
      </c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  <c r="CG14" s="202"/>
      <c r="CH14" s="202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0">
        <f t="shared" si="23"/>
        <v>0</v>
      </c>
      <c r="CU14" s="207"/>
      <c r="CV14" s="202" t="str">
        <f t="shared" si="24"/>
        <v>-</v>
      </c>
      <c r="CW14" s="202"/>
      <c r="CX14" s="202"/>
      <c r="CY14" s="202"/>
      <c r="CZ14" s="202"/>
      <c r="DA14" s="202"/>
      <c r="DB14" s="202"/>
      <c r="DC14" s="202"/>
      <c r="DD14" s="202"/>
      <c r="DE14" s="202"/>
      <c r="DF14" s="202"/>
      <c r="DG14" s="202"/>
      <c r="DH14" s="202"/>
      <c r="DI14" s="202"/>
      <c r="DJ14" s="202"/>
      <c r="DK14" s="202"/>
      <c r="DL14" s="202"/>
      <c r="DM14" s="202"/>
      <c r="DN14" s="202"/>
      <c r="DO14" s="202"/>
      <c r="DP14" s="202"/>
      <c r="DQ14" s="202"/>
      <c r="DR14" s="202"/>
      <c r="DS14" s="202"/>
      <c r="DT14" s="202"/>
      <c r="DU14" s="202"/>
      <c r="DV14" s="202"/>
      <c r="DW14" s="202"/>
      <c r="DX14" s="202"/>
      <c r="DY14" s="202"/>
      <c r="DZ14" s="202"/>
      <c r="EA14" s="202"/>
      <c r="EB14" s="202"/>
      <c r="EC14" s="202"/>
      <c r="ED14" s="202"/>
      <c r="EE14" s="202"/>
      <c r="EF14" s="202"/>
      <c r="EG14" s="202"/>
      <c r="EH14" s="202"/>
      <c r="EI14" s="202"/>
      <c r="EJ14" s="200"/>
      <c r="EK14" s="241"/>
      <c r="EL14" s="201"/>
      <c r="EM14" s="202"/>
      <c r="EN14" s="202"/>
      <c r="EO14" s="202"/>
      <c r="EP14" s="202"/>
      <c r="EQ14" s="202"/>
      <c r="ER14" s="202"/>
      <c r="ES14" s="202"/>
      <c r="ET14" s="202"/>
      <c r="EU14" s="202"/>
      <c r="EV14" s="202"/>
      <c r="EW14" s="202"/>
      <c r="EX14" s="202"/>
      <c r="EY14" s="202"/>
      <c r="EZ14" s="202"/>
      <c r="FA14" s="202"/>
      <c r="FB14" s="202"/>
      <c r="FC14" s="202"/>
      <c r="FD14" s="202"/>
      <c r="FE14" s="202"/>
      <c r="FF14" s="202"/>
      <c r="FG14" s="202"/>
      <c r="FH14" s="202"/>
      <c r="FI14" s="202"/>
      <c r="FJ14" s="202"/>
      <c r="FK14" s="202"/>
      <c r="FL14" s="208"/>
      <c r="FM14" s="202"/>
      <c r="FN14" s="202"/>
      <c r="FO14" s="202"/>
      <c r="FP14" s="212">
        <f t="shared" si="25"/>
        <v>0</v>
      </c>
      <c r="FQ14" s="202"/>
      <c r="FR14" s="202"/>
      <c r="FS14" s="169"/>
      <c r="FT14" s="202"/>
      <c r="FU14" s="202"/>
      <c r="FV14" s="202"/>
      <c r="FW14" s="202"/>
      <c r="FX14" s="202"/>
      <c r="FY14" s="202"/>
      <c r="FZ14" s="202"/>
      <c r="GA14" s="202"/>
      <c r="GB14" s="202"/>
      <c r="GC14" s="200">
        <f t="shared" si="26"/>
        <v>0</v>
      </c>
      <c r="GD14" s="202"/>
      <c r="GE14" s="202"/>
      <c r="GF14" s="202"/>
      <c r="GG14" s="169"/>
      <c r="GH14" s="202"/>
      <c r="GI14" s="202"/>
      <c r="GJ14" s="202"/>
      <c r="GK14" s="202"/>
      <c r="GL14" s="202"/>
      <c r="GM14" s="387">
        <f t="shared" si="27"/>
        <v>0</v>
      </c>
    </row>
    <row r="15" spans="1:201" s="209" customFormat="1">
      <c r="A15" s="171"/>
      <c r="B15" s="372"/>
      <c r="C15" s="205"/>
      <c r="D15" s="357"/>
      <c r="E15" s="205"/>
      <c r="F15" s="169"/>
      <c r="G15" s="202"/>
      <c r="H15" s="169" t="str">
        <f t="shared" si="13"/>
        <v xml:space="preserve"> </v>
      </c>
      <c r="I15" s="241"/>
      <c r="J15" s="202" t="s">
        <v>0</v>
      </c>
      <c r="K15" s="200"/>
      <c r="L15" s="202"/>
      <c r="M15" s="202">
        <f t="shared" si="14"/>
        <v>0</v>
      </c>
      <c r="N15" s="202" t="s">
        <v>147</v>
      </c>
      <c r="O15" s="169" t="str">
        <f t="shared" si="15"/>
        <v xml:space="preserve">mmXMic  </v>
      </c>
      <c r="P15" s="250" t="str">
        <f t="shared" si="16"/>
        <v>SURFACE JOB</v>
      </c>
      <c r="Q15" s="203"/>
      <c r="R15" s="202"/>
      <c r="S15" s="169" t="str">
        <f t="shared" si="17"/>
        <v xml:space="preserve"> </v>
      </c>
      <c r="T15" s="241"/>
      <c r="U15" s="202" t="s">
        <v>0</v>
      </c>
      <c r="V15" s="202"/>
      <c r="W15" s="202"/>
      <c r="X15" s="202">
        <f t="shared" si="18"/>
        <v>0</v>
      </c>
      <c r="Y15" s="202"/>
      <c r="Z15" s="169" t="str">
        <f t="shared" si="19"/>
        <v xml:space="preserve">mmxmic  </v>
      </c>
      <c r="AA15" s="202"/>
      <c r="AB15" s="202"/>
      <c r="AC15" s="202"/>
      <c r="AD15" s="202"/>
      <c r="AE15" s="200"/>
      <c r="AF15" s="202"/>
      <c r="AG15" s="202"/>
      <c r="AH15" s="202"/>
      <c r="AI15" s="202">
        <f t="shared" si="20"/>
        <v>0</v>
      </c>
      <c r="AJ15" s="169"/>
      <c r="AK15" s="169"/>
      <c r="AL15" s="122"/>
      <c r="AM15" s="150"/>
      <c r="AN15" s="150"/>
      <c r="AO15" s="202"/>
      <c r="AP15" s="202"/>
      <c r="AQ15" s="202"/>
      <c r="AR15" s="202"/>
      <c r="AS15" s="202"/>
      <c r="AT15" s="169"/>
      <c r="AU15" s="202"/>
      <c r="AV15" s="169"/>
      <c r="AW15" s="200"/>
      <c r="AX15" s="200"/>
      <c r="AY15" s="200"/>
      <c r="AZ15" s="202"/>
      <c r="BA15" s="200"/>
      <c r="BB15" s="201"/>
      <c r="BC15" s="202"/>
      <c r="BD15" s="202"/>
      <c r="BE15" s="200">
        <f t="shared" si="21"/>
        <v>0</v>
      </c>
      <c r="BF15" s="202"/>
      <c r="BG15" s="202">
        <f t="shared" si="22"/>
        <v>0</v>
      </c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202"/>
      <c r="CC15" s="202"/>
      <c r="CD15" s="202"/>
      <c r="CE15" s="202"/>
      <c r="CF15" s="202"/>
      <c r="CG15" s="202"/>
      <c r="CH15" s="202"/>
      <c r="CI15" s="202"/>
      <c r="CJ15" s="202"/>
      <c r="CK15" s="202"/>
      <c r="CL15" s="202"/>
      <c r="CM15" s="202"/>
      <c r="CN15" s="202"/>
      <c r="CO15" s="202"/>
      <c r="CP15" s="202"/>
      <c r="CQ15" s="202"/>
      <c r="CR15" s="202"/>
      <c r="CS15" s="202"/>
      <c r="CT15" s="200">
        <f t="shared" si="23"/>
        <v>0</v>
      </c>
      <c r="CU15" s="207"/>
      <c r="CV15" s="202" t="str">
        <f t="shared" si="24"/>
        <v>-</v>
      </c>
      <c r="CW15" s="202"/>
      <c r="CX15" s="202"/>
      <c r="CY15" s="202"/>
      <c r="CZ15" s="202"/>
      <c r="DA15" s="202"/>
      <c r="DB15" s="202"/>
      <c r="DC15" s="202"/>
      <c r="DD15" s="202"/>
      <c r="DE15" s="202"/>
      <c r="DF15" s="202"/>
      <c r="DG15" s="202"/>
      <c r="DH15" s="202"/>
      <c r="DI15" s="202"/>
      <c r="DJ15" s="202"/>
      <c r="DK15" s="202"/>
      <c r="DL15" s="202"/>
      <c r="DM15" s="202"/>
      <c r="DN15" s="202"/>
      <c r="DO15" s="202"/>
      <c r="DP15" s="202"/>
      <c r="DQ15" s="202"/>
      <c r="DR15" s="202"/>
      <c r="DS15" s="202"/>
      <c r="DT15" s="202"/>
      <c r="DU15" s="202"/>
      <c r="DV15" s="202"/>
      <c r="DW15" s="202"/>
      <c r="DX15" s="202"/>
      <c r="DY15" s="202"/>
      <c r="DZ15" s="202"/>
      <c r="EA15" s="202"/>
      <c r="EB15" s="202"/>
      <c r="EC15" s="202"/>
      <c r="ED15" s="202"/>
      <c r="EE15" s="202"/>
      <c r="EF15" s="202"/>
      <c r="EG15" s="202"/>
      <c r="EH15" s="202"/>
      <c r="EI15" s="202"/>
      <c r="EJ15" s="200"/>
      <c r="EK15" s="241"/>
      <c r="EL15" s="201"/>
      <c r="EM15" s="202"/>
      <c r="EN15" s="202"/>
      <c r="EO15" s="202"/>
      <c r="EP15" s="202"/>
      <c r="EQ15" s="202"/>
      <c r="ER15" s="202"/>
      <c r="ES15" s="202"/>
      <c r="ET15" s="202"/>
      <c r="EU15" s="202"/>
      <c r="EV15" s="202"/>
      <c r="EW15" s="202"/>
      <c r="EX15" s="202"/>
      <c r="EY15" s="202"/>
      <c r="EZ15" s="202"/>
      <c r="FA15" s="202"/>
      <c r="FB15" s="202"/>
      <c r="FC15" s="202"/>
      <c r="FD15" s="202"/>
      <c r="FE15" s="202"/>
      <c r="FF15" s="202"/>
      <c r="FG15" s="202"/>
      <c r="FH15" s="202"/>
      <c r="FI15" s="202"/>
      <c r="FJ15" s="202"/>
      <c r="FK15" s="202"/>
      <c r="FL15" s="208"/>
      <c r="FM15" s="202"/>
      <c r="FN15" s="202"/>
      <c r="FO15" s="202"/>
      <c r="FP15" s="212">
        <f t="shared" si="25"/>
        <v>0</v>
      </c>
      <c r="FQ15" s="202"/>
      <c r="FR15" s="202"/>
      <c r="FS15" s="169"/>
      <c r="FT15" s="202"/>
      <c r="FU15" s="202"/>
      <c r="FV15" s="202"/>
      <c r="FW15" s="202"/>
      <c r="FX15" s="202"/>
      <c r="FY15" s="202"/>
      <c r="FZ15" s="202"/>
      <c r="GA15" s="202"/>
      <c r="GB15" s="202"/>
      <c r="GC15" s="200">
        <f t="shared" si="26"/>
        <v>0</v>
      </c>
      <c r="GD15" s="202"/>
      <c r="GE15" s="202"/>
      <c r="GF15" s="202"/>
      <c r="GG15" s="169"/>
      <c r="GH15" s="202"/>
      <c r="GI15" s="202"/>
      <c r="GJ15" s="202"/>
      <c r="GK15" s="202"/>
      <c r="GL15" s="202"/>
      <c r="GM15" s="387">
        <f t="shared" si="27"/>
        <v>0</v>
      </c>
    </row>
    <row r="16" spans="1:201" s="209" customFormat="1">
      <c r="A16" s="171"/>
      <c r="B16" s="372"/>
      <c r="C16" s="205"/>
      <c r="D16" s="357"/>
      <c r="E16" s="205"/>
      <c r="F16" s="169"/>
      <c r="G16" s="202"/>
      <c r="H16" s="169" t="str">
        <f t="shared" si="13"/>
        <v xml:space="preserve"> </v>
      </c>
      <c r="I16" s="241"/>
      <c r="J16" s="202" t="s">
        <v>0</v>
      </c>
      <c r="K16" s="200"/>
      <c r="L16" s="202"/>
      <c r="M16" s="202">
        <f t="shared" si="14"/>
        <v>0</v>
      </c>
      <c r="N16" s="202" t="s">
        <v>147</v>
      </c>
      <c r="O16" s="169" t="str">
        <f t="shared" si="15"/>
        <v xml:space="preserve">mmXMic  </v>
      </c>
      <c r="P16" s="250" t="str">
        <f t="shared" si="16"/>
        <v>SURFACE JOB</v>
      </c>
      <c r="Q16" s="203"/>
      <c r="R16" s="202"/>
      <c r="S16" s="169" t="str">
        <f t="shared" si="17"/>
        <v xml:space="preserve"> </v>
      </c>
      <c r="T16" s="241"/>
      <c r="U16" s="202" t="s">
        <v>0</v>
      </c>
      <c r="V16" s="202"/>
      <c r="W16" s="202"/>
      <c r="X16" s="202">
        <f t="shared" si="18"/>
        <v>0</v>
      </c>
      <c r="Y16" s="202"/>
      <c r="Z16" s="169" t="str">
        <f t="shared" si="19"/>
        <v xml:space="preserve">mmxmic  </v>
      </c>
      <c r="AA16" s="202"/>
      <c r="AB16" s="202"/>
      <c r="AC16" s="202"/>
      <c r="AD16" s="202"/>
      <c r="AE16" s="200"/>
      <c r="AF16" s="202"/>
      <c r="AG16" s="202"/>
      <c r="AH16" s="202"/>
      <c r="AI16" s="202">
        <f t="shared" si="20"/>
        <v>0</v>
      </c>
      <c r="AJ16" s="169"/>
      <c r="AK16" s="169"/>
      <c r="AL16" s="122"/>
      <c r="AM16" s="150"/>
      <c r="AN16" s="150"/>
      <c r="AO16" s="202"/>
      <c r="AP16" s="202"/>
      <c r="AQ16" s="202"/>
      <c r="AR16" s="202"/>
      <c r="AS16" s="202"/>
      <c r="AT16" s="169"/>
      <c r="AU16" s="202"/>
      <c r="AV16" s="169"/>
      <c r="AW16" s="200"/>
      <c r="AX16" s="200"/>
      <c r="AY16" s="200"/>
      <c r="AZ16" s="202"/>
      <c r="BA16" s="200"/>
      <c r="BB16" s="201"/>
      <c r="BC16" s="202"/>
      <c r="BD16" s="202"/>
      <c r="BE16" s="200">
        <f t="shared" si="21"/>
        <v>0</v>
      </c>
      <c r="BF16" s="202"/>
      <c r="BG16" s="202">
        <f t="shared" si="22"/>
        <v>0</v>
      </c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202"/>
      <c r="CC16" s="202"/>
      <c r="CD16" s="202"/>
      <c r="CE16" s="202"/>
      <c r="CF16" s="202"/>
      <c r="CG16" s="202"/>
      <c r="CH16" s="202"/>
      <c r="CI16" s="202"/>
      <c r="CJ16" s="202"/>
      <c r="CK16" s="202"/>
      <c r="CL16" s="202"/>
      <c r="CM16" s="202"/>
      <c r="CN16" s="202"/>
      <c r="CO16" s="202"/>
      <c r="CP16" s="202"/>
      <c r="CQ16" s="202"/>
      <c r="CR16" s="202"/>
      <c r="CS16" s="202"/>
      <c r="CT16" s="200">
        <f t="shared" si="23"/>
        <v>0</v>
      </c>
      <c r="CU16" s="207"/>
      <c r="CV16" s="202" t="str">
        <f t="shared" si="24"/>
        <v>-</v>
      </c>
      <c r="CW16" s="202"/>
      <c r="CX16" s="202"/>
      <c r="CY16" s="202"/>
      <c r="CZ16" s="202"/>
      <c r="DA16" s="202"/>
      <c r="DB16" s="202"/>
      <c r="DC16" s="202"/>
      <c r="DD16" s="202"/>
      <c r="DE16" s="202"/>
      <c r="DF16" s="202"/>
      <c r="DG16" s="202"/>
      <c r="DH16" s="202"/>
      <c r="DI16" s="202"/>
      <c r="DJ16" s="202"/>
      <c r="DK16" s="202"/>
      <c r="DL16" s="202"/>
      <c r="DM16" s="202"/>
      <c r="DN16" s="202"/>
      <c r="DO16" s="202"/>
      <c r="DP16" s="202"/>
      <c r="DQ16" s="202"/>
      <c r="DR16" s="202"/>
      <c r="DS16" s="202"/>
      <c r="DT16" s="202"/>
      <c r="DU16" s="202"/>
      <c r="DV16" s="202"/>
      <c r="DW16" s="202"/>
      <c r="DX16" s="202"/>
      <c r="DY16" s="202"/>
      <c r="DZ16" s="202"/>
      <c r="EA16" s="202"/>
      <c r="EB16" s="202"/>
      <c r="EC16" s="202"/>
      <c r="ED16" s="202"/>
      <c r="EE16" s="202"/>
      <c r="EF16" s="202"/>
      <c r="EG16" s="202"/>
      <c r="EH16" s="202"/>
      <c r="EI16" s="202"/>
      <c r="EJ16" s="200"/>
      <c r="EK16" s="241"/>
      <c r="EL16" s="201"/>
      <c r="EM16" s="202"/>
      <c r="EN16" s="202"/>
      <c r="EO16" s="202"/>
      <c r="EP16" s="202"/>
      <c r="EQ16" s="202"/>
      <c r="ER16" s="202"/>
      <c r="ES16" s="202"/>
      <c r="ET16" s="202"/>
      <c r="EU16" s="202"/>
      <c r="EV16" s="202"/>
      <c r="EW16" s="202"/>
      <c r="EX16" s="202"/>
      <c r="EY16" s="202"/>
      <c r="EZ16" s="202"/>
      <c r="FA16" s="202"/>
      <c r="FB16" s="202"/>
      <c r="FC16" s="202"/>
      <c r="FD16" s="202"/>
      <c r="FE16" s="202"/>
      <c r="FF16" s="202"/>
      <c r="FG16" s="202"/>
      <c r="FH16" s="202"/>
      <c r="FI16" s="202"/>
      <c r="FJ16" s="202"/>
      <c r="FK16" s="202"/>
      <c r="FL16" s="208"/>
      <c r="FM16" s="202"/>
      <c r="FN16" s="202"/>
      <c r="FO16" s="202"/>
      <c r="FP16" s="212">
        <f t="shared" si="25"/>
        <v>0</v>
      </c>
      <c r="FQ16" s="202"/>
      <c r="FR16" s="202"/>
      <c r="FS16" s="169"/>
      <c r="FT16" s="202"/>
      <c r="FU16" s="202"/>
      <c r="FV16" s="202"/>
      <c r="FW16" s="202"/>
      <c r="FX16" s="202"/>
      <c r="FY16" s="202"/>
      <c r="FZ16" s="202"/>
      <c r="GA16" s="202"/>
      <c r="GB16" s="202"/>
      <c r="GC16" s="200">
        <f t="shared" si="26"/>
        <v>0</v>
      </c>
      <c r="GD16" s="202"/>
      <c r="GE16" s="202"/>
      <c r="GF16" s="202"/>
      <c r="GG16" s="169"/>
      <c r="GH16" s="202"/>
      <c r="GI16" s="202"/>
      <c r="GJ16" s="202"/>
      <c r="GK16" s="202"/>
      <c r="GL16" s="202"/>
      <c r="GM16" s="387">
        <f t="shared" si="27"/>
        <v>0</v>
      </c>
    </row>
    <row r="17" spans="1:195" s="209" customFormat="1">
      <c r="A17" s="171"/>
      <c r="B17" s="372"/>
      <c r="C17" s="205"/>
      <c r="D17" s="357"/>
      <c r="E17" s="205"/>
      <c r="F17" s="169"/>
      <c r="G17" s="202"/>
      <c r="H17" s="169" t="str">
        <f t="shared" si="13"/>
        <v xml:space="preserve"> </v>
      </c>
      <c r="I17" s="241"/>
      <c r="J17" s="202" t="s">
        <v>0</v>
      </c>
      <c r="K17" s="200"/>
      <c r="L17" s="202"/>
      <c r="M17" s="202">
        <f t="shared" si="14"/>
        <v>0</v>
      </c>
      <c r="N17" s="202" t="s">
        <v>147</v>
      </c>
      <c r="O17" s="169" t="str">
        <f t="shared" si="15"/>
        <v xml:space="preserve">mmXMic  </v>
      </c>
      <c r="P17" s="250" t="str">
        <f t="shared" si="16"/>
        <v>SURFACE JOB</v>
      </c>
      <c r="Q17" s="203"/>
      <c r="R17" s="202"/>
      <c r="S17" s="169" t="str">
        <f t="shared" si="17"/>
        <v xml:space="preserve"> </v>
      </c>
      <c r="T17" s="241"/>
      <c r="U17" s="202" t="s">
        <v>0</v>
      </c>
      <c r="V17" s="202"/>
      <c r="W17" s="202"/>
      <c r="X17" s="202">
        <f t="shared" si="18"/>
        <v>0</v>
      </c>
      <c r="Y17" s="202"/>
      <c r="Z17" s="169" t="str">
        <f t="shared" si="19"/>
        <v xml:space="preserve">mmxmic  </v>
      </c>
      <c r="AA17" s="202"/>
      <c r="AB17" s="202"/>
      <c r="AC17" s="202"/>
      <c r="AD17" s="202"/>
      <c r="AE17" s="200"/>
      <c r="AF17" s="202"/>
      <c r="AG17" s="202"/>
      <c r="AH17" s="202"/>
      <c r="AI17" s="202">
        <f t="shared" si="20"/>
        <v>0</v>
      </c>
      <c r="AJ17" s="169"/>
      <c r="AK17" s="169"/>
      <c r="AL17" s="122"/>
      <c r="AM17" s="150"/>
      <c r="AN17" s="150"/>
      <c r="AO17" s="202"/>
      <c r="AP17" s="202"/>
      <c r="AQ17" s="202"/>
      <c r="AR17" s="202"/>
      <c r="AS17" s="202"/>
      <c r="AT17" s="169"/>
      <c r="AU17" s="202"/>
      <c r="AV17" s="169"/>
      <c r="AW17" s="200"/>
      <c r="AX17" s="200"/>
      <c r="AY17" s="200"/>
      <c r="AZ17" s="202"/>
      <c r="BA17" s="200"/>
      <c r="BB17" s="201"/>
      <c r="BC17" s="202"/>
      <c r="BD17" s="202"/>
      <c r="BE17" s="200">
        <f t="shared" si="21"/>
        <v>0</v>
      </c>
      <c r="BF17" s="202"/>
      <c r="BG17" s="202">
        <f t="shared" si="22"/>
        <v>0</v>
      </c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202"/>
      <c r="CC17" s="202"/>
      <c r="CD17" s="202"/>
      <c r="CE17" s="202"/>
      <c r="CF17" s="202"/>
      <c r="CG17" s="202"/>
      <c r="CH17" s="202"/>
      <c r="CI17" s="202"/>
      <c r="CJ17" s="202"/>
      <c r="CK17" s="202"/>
      <c r="CL17" s="202"/>
      <c r="CM17" s="202"/>
      <c r="CN17" s="202"/>
      <c r="CO17" s="202"/>
      <c r="CP17" s="202"/>
      <c r="CQ17" s="202"/>
      <c r="CR17" s="202"/>
      <c r="CS17" s="202"/>
      <c r="CT17" s="200">
        <f t="shared" si="23"/>
        <v>0</v>
      </c>
      <c r="CU17" s="207"/>
      <c r="CV17" s="202" t="str">
        <f t="shared" si="24"/>
        <v>-</v>
      </c>
      <c r="CW17" s="202"/>
      <c r="CX17" s="202"/>
      <c r="CY17" s="202"/>
      <c r="CZ17" s="202"/>
      <c r="DA17" s="202"/>
      <c r="DB17" s="202"/>
      <c r="DC17" s="202"/>
      <c r="DD17" s="202"/>
      <c r="DE17" s="202"/>
      <c r="DF17" s="202"/>
      <c r="DG17" s="202"/>
      <c r="DH17" s="202"/>
      <c r="DI17" s="202"/>
      <c r="DJ17" s="202"/>
      <c r="DK17" s="202"/>
      <c r="DL17" s="202"/>
      <c r="DM17" s="202"/>
      <c r="DN17" s="202"/>
      <c r="DO17" s="202"/>
      <c r="DP17" s="202"/>
      <c r="DQ17" s="202"/>
      <c r="DR17" s="202"/>
      <c r="DS17" s="202"/>
      <c r="DT17" s="202"/>
      <c r="DU17" s="202"/>
      <c r="DV17" s="202"/>
      <c r="DW17" s="202"/>
      <c r="DX17" s="202"/>
      <c r="DY17" s="202"/>
      <c r="DZ17" s="202"/>
      <c r="EA17" s="202"/>
      <c r="EB17" s="202"/>
      <c r="EC17" s="202"/>
      <c r="ED17" s="202"/>
      <c r="EE17" s="202"/>
      <c r="EF17" s="202"/>
      <c r="EG17" s="202"/>
      <c r="EH17" s="202"/>
      <c r="EI17" s="202"/>
      <c r="EJ17" s="200"/>
      <c r="EK17" s="241"/>
      <c r="EL17" s="201"/>
      <c r="EM17" s="202"/>
      <c r="EN17" s="202"/>
      <c r="EO17" s="202"/>
      <c r="EP17" s="202"/>
      <c r="EQ17" s="202"/>
      <c r="ER17" s="202"/>
      <c r="ES17" s="202"/>
      <c r="ET17" s="202"/>
      <c r="EU17" s="202"/>
      <c r="EV17" s="202"/>
      <c r="EW17" s="202"/>
      <c r="EX17" s="202"/>
      <c r="EY17" s="202"/>
      <c r="EZ17" s="202"/>
      <c r="FA17" s="202"/>
      <c r="FB17" s="202"/>
      <c r="FC17" s="202"/>
      <c r="FD17" s="202"/>
      <c r="FE17" s="202"/>
      <c r="FF17" s="202"/>
      <c r="FG17" s="202"/>
      <c r="FH17" s="202"/>
      <c r="FI17" s="202"/>
      <c r="FJ17" s="202"/>
      <c r="FK17" s="202"/>
      <c r="FL17" s="208"/>
      <c r="FM17" s="202"/>
      <c r="FN17" s="202"/>
      <c r="FO17" s="202"/>
      <c r="FP17" s="212">
        <f t="shared" si="25"/>
        <v>0</v>
      </c>
      <c r="FQ17" s="202"/>
      <c r="FR17" s="202"/>
      <c r="FS17" s="169"/>
      <c r="FT17" s="202"/>
      <c r="FU17" s="202"/>
      <c r="FV17" s="202"/>
      <c r="FW17" s="202"/>
      <c r="FX17" s="202"/>
      <c r="FY17" s="202"/>
      <c r="FZ17" s="202"/>
      <c r="GA17" s="202"/>
      <c r="GB17" s="202"/>
      <c r="GC17" s="200">
        <f t="shared" si="26"/>
        <v>0</v>
      </c>
      <c r="GD17" s="202"/>
      <c r="GE17" s="202"/>
      <c r="GF17" s="202"/>
      <c r="GG17" s="169"/>
      <c r="GH17" s="202"/>
      <c r="GI17" s="202"/>
      <c r="GJ17" s="202"/>
      <c r="GK17" s="202"/>
      <c r="GL17" s="202"/>
      <c r="GM17" s="387">
        <f t="shared" si="27"/>
        <v>0</v>
      </c>
    </row>
    <row r="18" spans="1:195" s="209" customFormat="1">
      <c r="A18" s="171"/>
      <c r="B18" s="372"/>
      <c r="C18" s="205"/>
      <c r="D18" s="357"/>
      <c r="E18" s="205"/>
      <c r="F18" s="169"/>
      <c r="G18" s="202"/>
      <c r="H18" s="169" t="str">
        <f t="shared" si="13"/>
        <v xml:space="preserve"> </v>
      </c>
      <c r="I18" s="241"/>
      <c r="J18" s="202" t="s">
        <v>0</v>
      </c>
      <c r="K18" s="200"/>
      <c r="L18" s="202"/>
      <c r="M18" s="202">
        <f t="shared" si="14"/>
        <v>0</v>
      </c>
      <c r="N18" s="202" t="s">
        <v>147</v>
      </c>
      <c r="O18" s="169" t="str">
        <f t="shared" si="15"/>
        <v xml:space="preserve">mmXMic  </v>
      </c>
      <c r="P18" s="250" t="str">
        <f t="shared" si="16"/>
        <v>SURFACE JOB</v>
      </c>
      <c r="Q18" s="203"/>
      <c r="R18" s="202"/>
      <c r="S18" s="169" t="str">
        <f t="shared" si="17"/>
        <v xml:space="preserve"> </v>
      </c>
      <c r="T18" s="241"/>
      <c r="U18" s="202" t="s">
        <v>0</v>
      </c>
      <c r="V18" s="202"/>
      <c r="W18" s="202"/>
      <c r="X18" s="202">
        <f t="shared" si="18"/>
        <v>0</v>
      </c>
      <c r="Y18" s="202"/>
      <c r="Z18" s="169" t="str">
        <f t="shared" si="19"/>
        <v xml:space="preserve">mmxmic  </v>
      </c>
      <c r="AA18" s="202"/>
      <c r="AB18" s="202"/>
      <c r="AC18" s="202"/>
      <c r="AD18" s="202"/>
      <c r="AE18" s="200"/>
      <c r="AF18" s="202"/>
      <c r="AG18" s="202"/>
      <c r="AH18" s="202"/>
      <c r="AI18" s="202">
        <f t="shared" si="20"/>
        <v>0</v>
      </c>
      <c r="AJ18" s="169"/>
      <c r="AK18" s="169"/>
      <c r="AL18" s="122"/>
      <c r="AM18" s="150"/>
      <c r="AN18" s="150"/>
      <c r="AO18" s="202"/>
      <c r="AP18" s="202"/>
      <c r="AQ18" s="202"/>
      <c r="AR18" s="202"/>
      <c r="AS18" s="202"/>
      <c r="AT18" s="169"/>
      <c r="AU18" s="202"/>
      <c r="AV18" s="169"/>
      <c r="AW18" s="200"/>
      <c r="AX18" s="200"/>
      <c r="AY18" s="200"/>
      <c r="AZ18" s="202"/>
      <c r="BA18" s="200"/>
      <c r="BB18" s="201"/>
      <c r="BC18" s="202"/>
      <c r="BD18" s="202"/>
      <c r="BE18" s="200">
        <f t="shared" si="21"/>
        <v>0</v>
      </c>
      <c r="BF18" s="202"/>
      <c r="BG18" s="202">
        <f t="shared" si="22"/>
        <v>0</v>
      </c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  <c r="CM18" s="202"/>
      <c r="CN18" s="202"/>
      <c r="CO18" s="202"/>
      <c r="CP18" s="202"/>
      <c r="CQ18" s="202"/>
      <c r="CR18" s="202"/>
      <c r="CS18" s="202"/>
      <c r="CT18" s="200">
        <f t="shared" si="23"/>
        <v>0</v>
      </c>
      <c r="CU18" s="207"/>
      <c r="CV18" s="202" t="str">
        <f t="shared" si="24"/>
        <v>-</v>
      </c>
      <c r="CW18" s="202"/>
      <c r="CX18" s="202"/>
      <c r="CY18" s="202"/>
      <c r="CZ18" s="202"/>
      <c r="DA18" s="202"/>
      <c r="DB18" s="202"/>
      <c r="DC18" s="202"/>
      <c r="DD18" s="202"/>
      <c r="DE18" s="202"/>
      <c r="DF18" s="202"/>
      <c r="DG18" s="202"/>
      <c r="DH18" s="202"/>
      <c r="DI18" s="202"/>
      <c r="DJ18" s="202"/>
      <c r="DK18" s="202"/>
      <c r="DL18" s="202"/>
      <c r="DM18" s="202"/>
      <c r="DN18" s="202"/>
      <c r="DO18" s="202"/>
      <c r="DP18" s="202"/>
      <c r="DQ18" s="202"/>
      <c r="DR18" s="202"/>
      <c r="DS18" s="202"/>
      <c r="DT18" s="202"/>
      <c r="DU18" s="202"/>
      <c r="DV18" s="202"/>
      <c r="DW18" s="202"/>
      <c r="DX18" s="202"/>
      <c r="DY18" s="202"/>
      <c r="DZ18" s="202"/>
      <c r="EA18" s="202"/>
      <c r="EB18" s="202"/>
      <c r="EC18" s="202"/>
      <c r="ED18" s="202"/>
      <c r="EE18" s="202"/>
      <c r="EF18" s="202"/>
      <c r="EG18" s="202"/>
      <c r="EH18" s="202"/>
      <c r="EI18" s="202"/>
      <c r="EJ18" s="200"/>
      <c r="EK18" s="241"/>
      <c r="EL18" s="201"/>
      <c r="EM18" s="202"/>
      <c r="EN18" s="202"/>
      <c r="EO18" s="202"/>
      <c r="EP18" s="202"/>
      <c r="EQ18" s="202"/>
      <c r="ER18" s="202"/>
      <c r="ES18" s="202"/>
      <c r="ET18" s="202"/>
      <c r="EU18" s="202"/>
      <c r="EV18" s="202"/>
      <c r="EW18" s="202"/>
      <c r="EX18" s="202"/>
      <c r="EY18" s="202"/>
      <c r="EZ18" s="202"/>
      <c r="FA18" s="202"/>
      <c r="FB18" s="202"/>
      <c r="FC18" s="202"/>
      <c r="FD18" s="202"/>
      <c r="FE18" s="202"/>
      <c r="FF18" s="202"/>
      <c r="FG18" s="202"/>
      <c r="FH18" s="202"/>
      <c r="FI18" s="202"/>
      <c r="FJ18" s="202"/>
      <c r="FK18" s="202"/>
      <c r="FL18" s="208"/>
      <c r="FM18" s="202"/>
      <c r="FN18" s="202"/>
      <c r="FO18" s="202"/>
      <c r="FP18" s="212">
        <f t="shared" si="25"/>
        <v>0</v>
      </c>
      <c r="FQ18" s="202"/>
      <c r="FR18" s="202"/>
      <c r="FS18" s="169"/>
      <c r="FT18" s="202"/>
      <c r="FU18" s="202"/>
      <c r="FV18" s="202"/>
      <c r="FW18" s="202"/>
      <c r="FX18" s="202"/>
      <c r="FY18" s="202"/>
      <c r="FZ18" s="202"/>
      <c r="GA18" s="202"/>
      <c r="GB18" s="202"/>
      <c r="GC18" s="200">
        <f t="shared" si="26"/>
        <v>0</v>
      </c>
      <c r="GD18" s="202"/>
      <c r="GE18" s="202"/>
      <c r="GF18" s="202"/>
      <c r="GG18" s="169"/>
      <c r="GH18" s="202"/>
      <c r="GI18" s="202"/>
      <c r="GJ18" s="202"/>
      <c r="GK18" s="202"/>
      <c r="GL18" s="202"/>
      <c r="GM18" s="387">
        <f t="shared" si="27"/>
        <v>0</v>
      </c>
    </row>
    <row r="19" spans="1:195" s="209" customFormat="1">
      <c r="A19" s="171"/>
      <c r="B19" s="372"/>
      <c r="C19" s="205"/>
      <c r="D19" s="357"/>
      <c r="E19" s="205"/>
      <c r="F19" s="169"/>
      <c r="G19" s="202"/>
      <c r="H19" s="169" t="str">
        <f t="shared" si="13"/>
        <v xml:space="preserve"> </v>
      </c>
      <c r="I19" s="241"/>
      <c r="J19" s="202" t="s">
        <v>0</v>
      </c>
      <c r="K19" s="200"/>
      <c r="L19" s="202"/>
      <c r="M19" s="202">
        <f t="shared" si="14"/>
        <v>0</v>
      </c>
      <c r="N19" s="202" t="s">
        <v>147</v>
      </c>
      <c r="O19" s="169" t="str">
        <f t="shared" si="15"/>
        <v xml:space="preserve">mmXMic  </v>
      </c>
      <c r="P19" s="250" t="str">
        <f t="shared" si="16"/>
        <v>SURFACE JOB</v>
      </c>
      <c r="Q19" s="203"/>
      <c r="R19" s="202"/>
      <c r="S19" s="169" t="str">
        <f t="shared" si="17"/>
        <v xml:space="preserve"> </v>
      </c>
      <c r="T19" s="241"/>
      <c r="U19" s="202" t="s">
        <v>0</v>
      </c>
      <c r="V19" s="202"/>
      <c r="W19" s="202"/>
      <c r="X19" s="202">
        <f t="shared" si="18"/>
        <v>0</v>
      </c>
      <c r="Y19" s="202"/>
      <c r="Z19" s="169" t="str">
        <f t="shared" si="19"/>
        <v xml:space="preserve">mmxmic  </v>
      </c>
      <c r="AA19" s="202"/>
      <c r="AB19" s="202"/>
      <c r="AC19" s="202"/>
      <c r="AD19" s="202"/>
      <c r="AE19" s="200"/>
      <c r="AF19" s="202"/>
      <c r="AG19" s="202"/>
      <c r="AH19" s="202"/>
      <c r="AI19" s="202">
        <f t="shared" si="20"/>
        <v>0</v>
      </c>
      <c r="AJ19" s="169"/>
      <c r="AK19" s="169"/>
      <c r="AL19" s="122"/>
      <c r="AM19" s="150"/>
      <c r="AN19" s="150"/>
      <c r="AO19" s="202"/>
      <c r="AP19" s="202"/>
      <c r="AQ19" s="202"/>
      <c r="AR19" s="202"/>
      <c r="AS19" s="202"/>
      <c r="AT19" s="169"/>
      <c r="AU19" s="202"/>
      <c r="AV19" s="169"/>
      <c r="AW19" s="200"/>
      <c r="AX19" s="200"/>
      <c r="AY19" s="200"/>
      <c r="AZ19" s="202"/>
      <c r="BA19" s="200"/>
      <c r="BB19" s="201"/>
      <c r="BC19" s="202"/>
      <c r="BD19" s="202"/>
      <c r="BE19" s="200">
        <f t="shared" si="21"/>
        <v>0</v>
      </c>
      <c r="BF19" s="202"/>
      <c r="BG19" s="202">
        <f t="shared" si="22"/>
        <v>0</v>
      </c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202"/>
      <c r="CC19" s="202"/>
      <c r="CD19" s="202"/>
      <c r="CE19" s="202"/>
      <c r="CF19" s="202"/>
      <c r="CG19" s="202"/>
      <c r="CH19" s="202"/>
      <c r="CI19" s="202"/>
      <c r="CJ19" s="202"/>
      <c r="CK19" s="202"/>
      <c r="CL19" s="202"/>
      <c r="CM19" s="202"/>
      <c r="CN19" s="202"/>
      <c r="CO19" s="202"/>
      <c r="CP19" s="202"/>
      <c r="CQ19" s="202"/>
      <c r="CR19" s="202"/>
      <c r="CS19" s="202"/>
      <c r="CT19" s="200">
        <f t="shared" si="23"/>
        <v>0</v>
      </c>
      <c r="CU19" s="207"/>
      <c r="CV19" s="202" t="str">
        <f t="shared" si="24"/>
        <v>-</v>
      </c>
      <c r="CW19" s="202"/>
      <c r="CX19" s="202"/>
      <c r="CY19" s="202"/>
      <c r="CZ19" s="202"/>
      <c r="DA19" s="202"/>
      <c r="DB19" s="202"/>
      <c r="DC19" s="202"/>
      <c r="DD19" s="202"/>
      <c r="DE19" s="202"/>
      <c r="DF19" s="202"/>
      <c r="DG19" s="202"/>
      <c r="DH19" s="202"/>
      <c r="DI19" s="202"/>
      <c r="DJ19" s="202"/>
      <c r="DK19" s="202"/>
      <c r="DL19" s="202"/>
      <c r="DM19" s="202"/>
      <c r="DN19" s="202"/>
      <c r="DO19" s="202"/>
      <c r="DP19" s="202"/>
      <c r="DQ19" s="202"/>
      <c r="DR19" s="202"/>
      <c r="DS19" s="202"/>
      <c r="DT19" s="202"/>
      <c r="DU19" s="202"/>
      <c r="DV19" s="202"/>
      <c r="DW19" s="202"/>
      <c r="DX19" s="202"/>
      <c r="DY19" s="202"/>
      <c r="DZ19" s="202"/>
      <c r="EA19" s="202"/>
      <c r="EB19" s="202"/>
      <c r="EC19" s="202"/>
      <c r="ED19" s="202"/>
      <c r="EE19" s="202"/>
      <c r="EF19" s="202"/>
      <c r="EG19" s="202"/>
      <c r="EH19" s="202"/>
      <c r="EI19" s="202"/>
      <c r="EJ19" s="200"/>
      <c r="EK19" s="241"/>
      <c r="EL19" s="201"/>
      <c r="EM19" s="202"/>
      <c r="EN19" s="202"/>
      <c r="EO19" s="202"/>
      <c r="EP19" s="202"/>
      <c r="EQ19" s="202"/>
      <c r="ER19" s="202"/>
      <c r="ES19" s="202"/>
      <c r="ET19" s="202"/>
      <c r="EU19" s="202"/>
      <c r="EV19" s="202"/>
      <c r="EW19" s="202"/>
      <c r="EX19" s="202"/>
      <c r="EY19" s="202"/>
      <c r="EZ19" s="202"/>
      <c r="FA19" s="202"/>
      <c r="FB19" s="202"/>
      <c r="FC19" s="202"/>
      <c r="FD19" s="202"/>
      <c r="FE19" s="202"/>
      <c r="FF19" s="202"/>
      <c r="FG19" s="202"/>
      <c r="FH19" s="202"/>
      <c r="FI19" s="202"/>
      <c r="FJ19" s="202"/>
      <c r="FK19" s="202"/>
      <c r="FL19" s="208"/>
      <c r="FM19" s="202"/>
      <c r="FN19" s="202"/>
      <c r="FO19" s="202"/>
      <c r="FP19" s="212">
        <f t="shared" si="25"/>
        <v>0</v>
      </c>
      <c r="FQ19" s="202"/>
      <c r="FR19" s="202"/>
      <c r="FS19" s="169"/>
      <c r="FT19" s="202"/>
      <c r="FU19" s="202"/>
      <c r="FV19" s="202"/>
      <c r="FW19" s="202"/>
      <c r="FX19" s="202"/>
      <c r="FY19" s="202"/>
      <c r="FZ19" s="202"/>
      <c r="GA19" s="202"/>
      <c r="GB19" s="202"/>
      <c r="GC19" s="200">
        <f t="shared" si="26"/>
        <v>0</v>
      </c>
      <c r="GD19" s="202"/>
      <c r="GE19" s="202"/>
      <c r="GF19" s="202"/>
      <c r="GG19" s="169"/>
      <c r="GH19" s="202"/>
      <c r="GI19" s="202"/>
      <c r="GJ19" s="202"/>
      <c r="GK19" s="202"/>
      <c r="GL19" s="202"/>
      <c r="GM19" s="387">
        <f t="shared" si="27"/>
        <v>0</v>
      </c>
    </row>
  </sheetData>
  <autoFilter ref="A3:GF19" xr:uid="{00000000-0009-0000-0000-000004000000}"/>
  <sortState xmlns:xlrd2="http://schemas.microsoft.com/office/spreadsheetml/2017/richdata2" ref="A4:GS9">
    <sortCondition sortBy="cellColor" ref="A4:A9" dxfId="272"/>
  </sortState>
  <phoneticPr fontId="189" type="noConversion"/>
  <conditionalFormatting sqref="A1:A1048576">
    <cfRule type="duplicateValues" dxfId="46" priority="3225111"/>
    <cfRule type="duplicateValues" dxfId="45" priority="3225114"/>
  </conditionalFormatting>
  <conditionalFormatting sqref="B1:B1048576">
    <cfRule type="duplicateValues" dxfId="44" priority="3225118"/>
    <cfRule type="duplicateValues" dxfId="43" priority="3225124"/>
    <cfRule type="duplicateValues" dxfId="42" priority="3225130"/>
  </conditionalFormatting>
  <conditionalFormatting sqref="B6">
    <cfRule type="duplicateValues" dxfId="41" priority="3123"/>
    <cfRule type="duplicateValues" dxfId="40" priority="3125"/>
    <cfRule type="duplicateValues" dxfId="39" priority="3126"/>
    <cfRule type="duplicateValues" dxfId="38" priority="3127"/>
    <cfRule type="duplicateValues" dxfId="37" priority="3128"/>
  </conditionalFormatting>
  <conditionalFormatting sqref="B7">
    <cfRule type="duplicateValues" dxfId="36" priority="2241"/>
    <cfRule type="duplicateValues" dxfId="35" priority="2243"/>
    <cfRule type="duplicateValues" dxfId="34" priority="2244"/>
    <cfRule type="duplicateValues" dxfId="33" priority="2245"/>
    <cfRule type="duplicateValues" dxfId="32" priority="2246"/>
  </conditionalFormatting>
  <conditionalFormatting sqref="B9">
    <cfRule type="duplicateValues" dxfId="31" priority="931"/>
  </conditionalFormatting>
  <conditionalFormatting sqref="B10:B19">
    <cfRule type="duplicateValues" dxfId="30" priority="3225117"/>
  </conditionalFormatting>
  <conditionalFormatting sqref="B10:B1048576">
    <cfRule type="duplicateValues" dxfId="29" priority="3225127"/>
    <cfRule type="duplicateValues" dxfId="28" priority="3225133"/>
    <cfRule type="duplicateValues" dxfId="27" priority="3225136"/>
    <cfRule type="duplicateValues" dxfId="26" priority="3225139"/>
    <cfRule type="duplicateValues" dxfId="25" priority="3225142"/>
    <cfRule type="duplicateValues" dxfId="24" priority="3225145"/>
    <cfRule type="duplicateValues" dxfId="23" priority="3225148"/>
  </conditionalFormatting>
  <conditionalFormatting sqref="C6">
    <cfRule type="duplicateValues" dxfId="22" priority="3090"/>
  </conditionalFormatting>
  <conditionalFormatting sqref="C7">
    <cfRule type="duplicateValues" dxfId="21" priority="2240"/>
  </conditionalFormatting>
  <conditionalFormatting sqref="C8">
    <cfRule type="duplicateValues" dxfId="20" priority="2888"/>
  </conditionalFormatting>
  <conditionalFormatting sqref="E4:E9">
    <cfRule type="containsText" dxfId="19" priority="2233" stopIfTrue="1" operator="containsText" text="MPPL">
      <formula>NOT(ISERROR(SEARCH("MPPL",E4)))</formula>
    </cfRule>
  </conditionalFormatting>
  <pageMargins left="0.75" right="0.75" top="1" bottom="1" header="0.5" footer="0.5"/>
  <pageSetup scale="1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ALL STOCK</vt:lpstr>
      <vt:lpstr>BOOKING</vt:lpstr>
      <vt:lpstr>ORDER BOOK</vt:lpstr>
      <vt:lpstr>PENDING ORDER</vt:lpstr>
      <vt:lpstr>PRINTING PLAN</vt:lpstr>
      <vt:lpstr>ECL PLAN</vt:lpstr>
      <vt:lpstr>LAM</vt:lpstr>
      <vt:lpstr>Spec Sheet (2)</vt:lpstr>
      <vt:lpstr>'PRINTING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Nirupam Acharjee</cp:lastModifiedBy>
  <cp:lastPrinted>2026-04-30T05:05:38Z</cp:lastPrinted>
  <dcterms:created xsi:type="dcterms:W3CDTF">1996-10-14T23:33:28Z</dcterms:created>
  <dcterms:modified xsi:type="dcterms:W3CDTF">2026-05-04T06:52:35Z</dcterms:modified>
</cp:coreProperties>
</file>